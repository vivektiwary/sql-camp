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DCF" sheetId="3" state="visible" r:id="rId5"/>
    <sheet name="Sensitivity" sheetId="4" state="visible" r:id="rId6"/>
    <sheet name="Comp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<sst xmlns="http://schemas.openxmlformats.org/spreadsheetml/2006/main" count="274" uniqueCount="233">
  <si>
    <t xml:space="preserve">Kaveri Retail Ltd - DCF and comparable companies</t>
  </si>
  <si>
    <t xml:space="preserve">How to read this workbook</t>
  </si>
  <si>
    <t xml:space="preserve">Blue text  = a hardcoded input. Every assumption in the model is blue, and blue is the only</t>
  </si>
  <si>
    <t xml:space="preserve">font colour you should ever type over.</t>
  </si>
  <si>
    <t xml:space="preserve">Black text = a formula. If you type over black text you have broken the model.</t>
  </si>
  <si>
    <t xml:space="preserve">Green text = a link to another sheet in this workbook.</t>
  </si>
  <si>
    <t xml:space="preserve">Yellow fill = the checks block. It must read zero.</t>
  </si>
  <si>
    <t xml:space="preserve">What this is</t>
  </si>
  <si>
    <t xml:space="preserve">The valuation half of the reference set: a discounted cash flow, two sensitivity grids and a</t>
  </si>
  <si>
    <t xml:space="preserve">comparable companies table. It follows on from workbook 01.</t>
  </si>
  <si>
    <t xml:space="preserve">Sheets</t>
  </si>
  <si>
    <t xml:space="preserve">Assumptions   WACC build and the valuation inputs, each with its source</t>
  </si>
  <si>
    <t xml:space="preserve">DCF           unlevered free cash flow, discounting, both terminal value methods, the equity bridge</t>
  </si>
  <si>
    <t xml:space="preserve">Sensitivity   value per share across WACC x terminal growth, and WACC x exit multiple</t>
  </si>
  <si>
    <t xml:space="preserve">Comps         all 20 companies, a selected peer set, medians and quartiles, implied value</t>
  </si>
  <si>
    <t xml:space="preserve">Things worth noticing</t>
  </si>
  <si>
    <t xml:space="preserve">1. The free cash flow lines are hardcoded (blue) because they come from workbook 01. Linking</t>
  </si>
  <si>
    <t xml:space="preserve">between separate Excel files breaks the moment someone renames a folder. Copy the values,</t>
  </si>
  <si>
    <t xml:space="preserve">and write down which cells they came from - the note beside each row does exactly that.</t>
  </si>
  <si>
    <t xml:space="preserve">2. Free cash flow is UNLEVERED: there is no interest anywhere in the build. You are valuing</t>
  </si>
  <si>
    <t xml:space="preserve">the business, then deciding separately who funds it. That is what the equity bridge is for.</t>
  </si>
  <si>
    <t xml:space="preserve">3. This company has more cash than debt. Net debt is negative, so the bridge ADDS it back.</t>
  </si>
  <si>
    <t xml:space="preserve">Check the sign every single time.</t>
  </si>
  <si>
    <t xml:space="preserve">4. Cell DCF!B38 shows terminal value as a share of enterprise value. Look at it before you</t>
  </si>
  <si>
    <t xml:space="preserve">quote a target price to anybody.</t>
  </si>
  <si>
    <t xml:space="preserve">5. Both terminal value methods are shown, each with the other's implied assumption. If the</t>
  </si>
  <si>
    <t xml:space="preserve">Gordon method implies a 15x exit multiple while your peers trade at 9x, your growth rate</t>
  </si>
  <si>
    <t xml:space="preserve">is fantasy.</t>
  </si>
  <si>
    <t xml:space="preserve">6. Every sensitivity cell recalculates the entire valuation from first principles. Change the</t>
  </si>
  <si>
    <t xml:space="preserve">WACC on the Assumptions sheet and the grids do not move - they are deliberately</t>
  </si>
  <si>
    <t xml:space="preserve">independent, so they show the whole landscape rather than one point on it.</t>
  </si>
  <si>
    <t xml:space="preserve">Try this</t>
  </si>
  <si>
    <t xml:space="preserve">Set the terminal growth rate to 6% and watch the value per share. Then ask yourself whether</t>
  </si>
  <si>
    <t xml:space="preserve">you believe a retailer grows faster than the economy forever. That is the question a DCF</t>
  </si>
  <si>
    <t xml:space="preserve">actually asks you.</t>
  </si>
  <si>
    <t xml:space="preserve">Kaveri Retail Ltd (KVRA) - valuation assumptions</t>
  </si>
  <si>
    <t xml:space="preserve">Input</t>
  </si>
  <si>
    <t xml:space="preserve">Value</t>
  </si>
  <si>
    <t xml:space="preserve">Where it comes from</t>
  </si>
  <si>
    <t xml:space="preserve">Risk-free rate</t>
  </si>
  <si>
    <t xml:space="preserve">10-year government bond yield</t>
  </si>
  <si>
    <t xml:space="preserve">Equity risk premium</t>
  </si>
  <si>
    <t xml:space="preserve">Long-run excess return of equities over bonds</t>
  </si>
  <si>
    <t xml:space="preserve">Levered beta</t>
  </si>
  <si>
    <t xml:space="preserve">Peer average, re-levered to this capital structure</t>
  </si>
  <si>
    <t xml:space="preserve">Pre-tax cost of debt</t>
  </si>
  <si>
    <t xml:space="preserve">Interest expense over average debt, Model!D60</t>
  </si>
  <si>
    <t xml:space="preserve">Tax rate</t>
  </si>
  <si>
    <t xml:space="preserve">Effective rate, Model!D62</t>
  </si>
  <si>
    <t xml:space="preserve">Market capitalisation (Rs m)</t>
  </si>
  <si>
    <t xml:space="preserve">87.17m shares x Rs 149.69 at 31-Mar-2026</t>
  </si>
  <si>
    <t xml:space="preserve">Total debt (Rs m)</t>
  </si>
  <si>
    <t xml:space="preserve">Balance sheet at 31-Mar-2026</t>
  </si>
  <si>
    <t xml:space="preserve">Cash (Rs m)</t>
  </si>
  <si>
    <t xml:space="preserve">Terminal growth rate</t>
  </si>
  <si>
    <t xml:space="preserve">At or below long-run nominal GDP growth</t>
  </si>
  <si>
    <t xml:space="preserve">Exit EBITDA multiple</t>
  </si>
  <si>
    <t xml:space="preserve">Peer median, see Comps sheet</t>
  </si>
  <si>
    <t xml:space="preserve">Diluted shares (m)</t>
  </si>
  <si>
    <t xml:space="preserve">dim_company.shares_out_m</t>
  </si>
  <si>
    <t xml:space="preserve">Current share price (Rs)</t>
  </si>
  <si>
    <t xml:space="preserve">Close on 31-Mar-2026</t>
  </si>
  <si>
    <t xml:space="preserve">WACC BUILD</t>
  </si>
  <si>
    <t xml:space="preserve">Cost of equity</t>
  </si>
  <si>
    <t xml:space="preserve">risk-free + beta x equity risk premium</t>
  </si>
  <si>
    <t xml:space="preserve">After-tax cost of debt</t>
  </si>
  <si>
    <t xml:space="preserve">Net debt</t>
  </si>
  <si>
    <t xml:space="preserve">Enterprise value (market)</t>
  </si>
  <si>
    <t xml:space="preserve">Equity weight</t>
  </si>
  <si>
    <t xml:space="preserve">market values, not book values</t>
  </si>
  <si>
    <t xml:space="preserve">Debt weight</t>
  </si>
  <si>
    <t xml:space="preserve">WACC</t>
  </si>
  <si>
    <t xml:space="preserve">Note: this company holds more cash than debt, so net debt is negative and the</t>
  </si>
  <si>
    <t xml:space="preserve">equity bridge ADDS the net cash back. Getting that sign wrong is a classic error.</t>
  </si>
  <si>
    <t xml:space="preserve">Kaveri Retail Ltd - discounted cash flow</t>
  </si>
  <si>
    <t xml:space="preserve">Rs millions. Unlevered free cash flow, mid-year discounting.</t>
  </si>
  <si>
    <t xml:space="preserve">Fiscal year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</si>
  <si>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</si>
  <si>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</si>
  <si>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</si>
  <si>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</si>
  <si>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</si>
  <si>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UNLEVERED FREE CASH FLOW</t>
  </si>
  <si>
    <t xml:space="preserve">EBITDA</t>
  </si>
  <si>
    <t xml:space="preserve">from Model!E13:I13</t>
  </si>
  <si>
    <t xml:space="preserve">EBIT</t>
  </si>
  <si>
    <t xml:space="preserve">from Model!E17:I17</t>
  </si>
  <si>
    <t xml:space="preserve">Tax on EBIT</t>
  </si>
  <si>
    <t xml:space="preserve">NOPAT</t>
  </si>
  <si>
    <t xml:space="preserve">Add: depreciation and amortisation</t>
  </si>
  <si>
    <t xml:space="preserve">from Model!E15:I15 + E16:I16</t>
  </si>
  <si>
    <t xml:space="preserve">Less: capital expenditure</t>
  </si>
  <si>
    <t xml:space="preserve">from Model!E45:I45</t>
  </si>
  <si>
    <t xml:space="preserve">Capex (shown as an outflow)</t>
  </si>
  <si>
    <t xml:space="preserve">Change in working capital (cash impact)</t>
  </si>
  <si>
    <t xml:space="preserve">from Model!E41:I41</t>
  </si>
  <si>
    <t xml:space="preserve">Unlevered free cash flow</t>
  </si>
  <si>
    <t xml:space="preserve">DISCOUNTING</t>
  </si>
  <si>
    <t xml:space="preserve">Discount period (mid-year)</t>
  </si>
  <si>
    <t xml:space="preserve">Discount factor</t>
  </si>
  <si>
    <t xml:space="preserve">Present value of free cash flow</t>
  </si>
  <si>
    <t xml:space="preserve">Sum of present values, forecast period</t>
  </si>
  <si>
    <t xml:space="preserve">TERMINAL VALUE</t>
  </si>
  <si>
    <t xml:space="preserve">Terminal discount period</t>
  </si>
  <si>
    <t xml:space="preserve">end of the final year, not mid-year</t>
  </si>
  <si>
    <t xml:space="preserve">Method 1: Gordon growth</t>
  </si>
  <si>
    <t xml:space="preserve">  Terminal value</t>
  </si>
  <si>
    <t xml:space="preserve">  Present value of terminal value</t>
  </si>
  <si>
    <t xml:space="preserve">  Implied exit EBITDA multiple</t>
  </si>
  <si>
    <t xml:space="preserve">Method 2: Exit multiple</t>
  </si>
  <si>
    <t xml:space="preserve">  Implied terminal growth rate</t>
  </si>
  <si>
    <t xml:space="preserve">  Normalised terminal capex (x depreciation)</t>
  </si>
  <si>
    <t xml:space="preserve">in perpetuity a business only needs to replace what wears out</t>
  </si>
  <si>
    <t xml:space="preserve">  Normalised terminal free cash flow</t>
  </si>
  <si>
    <t xml:space="preserve">NOPAT + D&amp;A - normalised capex + working capital</t>
  </si>
  <si>
    <t xml:space="preserve">If those two implied numbers disagree wildly, one of your assumptions is wrong.</t>
  </si>
  <si>
    <t xml:space="preserve">VALUATION  (Gordon growth method)</t>
  </si>
  <si>
    <t xml:space="preserve">Present value of forecast cash flows</t>
  </si>
  <si>
    <t xml:space="preserve">Present value of terminal value</t>
  </si>
  <si>
    <t xml:space="preserve">Enterprise value</t>
  </si>
  <si>
    <t xml:space="preserve">  Terminal value as % of enterprise value</t>
  </si>
  <si>
    <t xml:space="preserve">the honesty check - how much of your answer is a guess about year 6 onwards?</t>
  </si>
  <si>
    <t xml:space="preserve">  Implied EV / FY26 EBITDA</t>
  </si>
  <si>
    <t xml:space="preserve">compare this with the peer median on the Comps sheet</t>
  </si>
  <si>
    <t xml:space="preserve">Less: net debt (add back net cash)</t>
  </si>
  <si>
    <t xml:space="preserve">Equity value</t>
  </si>
  <si>
    <t xml:space="preserve">Value per share (Rs)</t>
  </si>
  <si>
    <t xml:space="preserve">Upside / (downside)</t>
  </si>
  <si>
    <t xml:space="preserve">VALUATION  (exit multiple method)</t>
  </si>
  <si>
    <t xml:space="preserve">REVERSE DCF  - what does today's price already assume?</t>
  </si>
  <si>
    <t xml:space="preserve">This is the most honest question in valuation. Instead of asking what the share</t>
  </si>
  <si>
    <t xml:space="preserve">is worth, it asks what you would have to believe to pay today's price.</t>
  </si>
  <si>
    <t xml:space="preserve">Market equity value</t>
  </si>
  <si>
    <t xml:space="preserve">Market enterprise value</t>
  </si>
  <si>
    <t xml:space="preserve">Terminal value the market implies (undiscounted)</t>
  </si>
  <si>
    <t xml:space="preserve">Implied terminal growth rate</t>
  </si>
  <si>
    <t xml:space="preserve">Implied exit EBITDA multiple</t>
  </si>
  <si>
    <t xml:space="preserve">Now judge those two numbers, not the share price. If the market implies terminal</t>
  </si>
  <si>
    <t xml:space="preserve">growth above nominal GDP forever, or an exit multiple far above where the peers</t>
  </si>
  <si>
    <t xml:space="preserve">trade today, the price is carrying an assumption somebody should defend.</t>
  </si>
  <si>
    <t xml:space="preserve">Sensitivity - value per share (Rs)</t>
  </si>
  <si>
    <t xml:space="preserve">Every cell recomputes the whole valuation. Nothing here is pasted.</t>
  </si>
  <si>
    <t xml:space="preserve">WACC (down) vs terminal growth (across)</t>
  </si>
  <si>
    <t xml:space="preserve">WACC (down) vs exit EBITDA multiple (across)</t>
  </si>
  <si>
    <t xml:space="preserve">Read these as a range, not a point. A DCF gives you a region of plausible</t>
  </si>
  <si>
    <t xml:space="preserve">values; anyone quoting a single number to two decimal places is overselling.</t>
  </si>
  <si>
    <t xml:space="preserve">Comparable companies - LTM to 31 March 2026</t>
  </si>
  <si>
    <t xml:space="preserve">Rs millions except per-share and multiples. Blue = input, black = calculated.</t>
  </si>
  <si>
    <t xml:space="preserve">Ticker</t>
  </si>
  <si>
    <t xml:space="preserve">Company</t>
  </si>
  <si>
    <t xml:space="preserve">Sector</t>
  </si>
  <si>
    <t xml:space="preserve">LTM revenue</t>
  </si>
  <si>
    <t xml:space="preserve">LTM EBITDA</t>
  </si>
  <si>
    <t xml:space="preserve">LTM EBIT</t>
  </si>
  <si>
    <t xml:space="preserve">LTM net income</t>
  </si>
  <si>
    <t xml:space="preserve">Shares (m)</t>
  </si>
  <si>
    <t xml:space="preserve">Price (Rs)</t>
  </si>
  <si>
    <t xml:space="preserve">Gross debt</t>
  </si>
  <si>
    <t xml:space="preserve">Cash</t>
  </si>
  <si>
    <t xml:space="preserve">Rev growth %</t>
  </si>
  <si>
    <t xml:space="preserve">Market cap</t>
  </si>
  <si>
    <t xml:space="preserve">EV/Revenue</t>
  </si>
  <si>
    <t xml:space="preserve">EV/EBITDA</t>
  </si>
  <si>
    <t xml:space="preserve">EV/EBIT</t>
  </si>
  <si>
    <t xml:space="preserve">P/E</t>
  </si>
  <si>
    <t xml:space="preserve">EBITDA margin</t>
  </si>
  <si>
    <t xml:space="preserve">ZNTH</t>
  </si>
  <si>
    <t xml:space="preserve">Zenith Telecom Ltd</t>
  </si>
  <si>
    <t xml:space="preserve">Communication Services</t>
  </si>
  <si>
    <t xml:space="preserve">BHMT</t>
  </si>
  <si>
    <t xml:space="preserve">Bhima Motors Ltd</t>
  </si>
  <si>
    <t xml:space="preserve">Consumer Discretionary</t>
  </si>
  <si>
    <t xml:space="preserve">KVRA</t>
  </si>
  <si>
    <t xml:space="preserve">Kaveri Retail Ltd</t>
  </si>
  <si>
    <t xml:space="preserve">NLSP</t>
  </si>
  <si>
    <t xml:space="preserve">Nilgiri Spice Foods Ltd</t>
  </si>
  <si>
    <t xml:space="preserve">Consumer Staples</t>
  </si>
  <si>
    <t xml:space="preserve">PLMT</t>
  </si>
  <si>
    <t xml:space="preserve">Palmetto Grocers Inc</t>
  </si>
  <si>
    <t xml:space="preserve">FRNC</t>
  </si>
  <si>
    <t xml:space="preserve">Frontier Energy Corp</t>
  </si>
  <si>
    <t xml:space="preserve">Energy</t>
  </si>
  <si>
    <t xml:space="preserve">KSHB</t>
  </si>
  <si>
    <t xml:space="preserve">Kosambi Housing Finance Ltd</t>
  </si>
  <si>
    <t xml:space="preserve">Financials</t>
  </si>
  <si>
    <t xml:space="preserve">STNM</t>
  </si>
  <si>
    <t xml:space="preserve">Stonemark Bancorp</t>
  </si>
  <si>
    <t xml:space="preserve">ATLB</t>
  </si>
  <si>
    <t xml:space="preserve">Atlas Biosciences Inc</t>
  </si>
  <si>
    <t xml:space="preserve">Health Care</t>
  </si>
  <si>
    <t xml:space="preserve">VNDH</t>
  </si>
  <si>
    <t xml:space="preserve">Vindhya Pharma Ltd</t>
  </si>
  <si>
    <t xml:space="preserve">HRBR</t>
  </si>
  <si>
    <t xml:space="preserve">Harbourline Freight Corp</t>
  </si>
  <si>
    <t xml:space="preserve">Industrials</t>
  </si>
  <si>
    <t xml:space="preserve">TPTI</t>
  </si>
  <si>
    <t xml:space="preserve">Taptee Logistics Ltd</t>
  </si>
  <si>
    <t xml:space="preserve">CLDW</t>
  </si>
  <si>
    <t xml:space="preserve">Cloudwell Systems Inc</t>
  </si>
  <si>
    <t xml:space="preserve">Information Technology</t>
  </si>
  <si>
    <t xml:space="preserve">MRDN</t>
  </si>
  <si>
    <t xml:space="preserve">Meridian Softworks Ltd</t>
  </si>
  <si>
    <t xml:space="preserve">NRTH</t>
  </si>
  <si>
    <t xml:space="preserve">Northgate Analytics Inc</t>
  </si>
  <si>
    <t xml:space="preserve">ARVT</t>
  </si>
  <si>
    <t xml:space="preserve">Aravalli Steel &amp; Tubes Ltd</t>
  </si>
  <si>
    <t xml:space="preserve">Materials</t>
  </si>
  <si>
    <t xml:space="preserve">GDVR</t>
  </si>
  <si>
    <t xml:space="preserve">Godavari Cement Ltd</t>
  </si>
  <si>
    <t xml:space="preserve">VRDN</t>
  </si>
  <si>
    <t xml:space="preserve">Verdant Materials Plc</t>
  </si>
  <si>
    <t xml:space="preserve">CHNB</t>
  </si>
  <si>
    <t xml:space="preserve">Chenab Power Ltd</t>
  </si>
  <si>
    <t xml:space="preserve">Utilities</t>
  </si>
  <si>
    <t xml:space="preserve">SRYU</t>
  </si>
  <si>
    <t xml:space="preserve">Suryodaya Solar Ltd</t>
  </si>
  <si>
    <t xml:space="preserve">Note: a loss-making company shows "nm" for P/E. That is not a formatting</t>
  </si>
  <si>
    <t xml:space="preserve">problem - it is the reason EV/EBITDA exists. See ARVT.</t>
  </si>
  <si>
    <t xml:space="preserve">SELECTED PEER SET</t>
  </si>
  <si>
    <t xml:space="preserve">Chosen for similar sector, size and margin structure. Justify every inclusion AND every exclusion.</t>
  </si>
  <si>
    <t xml:space="preserve">Median</t>
  </si>
  <si>
    <t xml:space="preserve">Mean</t>
  </si>
  <si>
    <t xml:space="preserve">Minimum</t>
  </si>
  <si>
    <t xml:space="preserve">Maximum</t>
  </si>
  <si>
    <t xml:space="preserve">Lower quartile</t>
  </si>
  <si>
    <t xml:space="preserve">Upper quartile</t>
  </si>
  <si>
    <t xml:space="preserve">IMPLIED VALUE OF KVRA AT THE PEER MEDIAN</t>
  </si>
  <si>
    <t xml:space="preserve">Peer median EV/EBITDA</t>
  </si>
  <si>
    <t xml:space="preserve">KVRA LTM EBITDA</t>
  </si>
  <si>
    <t xml:space="preserve">Implied enterprise value</t>
  </si>
  <si>
    <t xml:space="preserve">Less: net debt</t>
  </si>
  <si>
    <t xml:space="preserve">Implied equity value</t>
  </si>
  <si>
    <t xml:space="preserve">Implied value per share (Rs)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</si>
</sst>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;\(0.0%\);\-"/>
    <numFmt numFmtId="166" formatCode="0.00"/>
    <numFmt numFmtId="167" formatCode="#,##0;\(#,##0\);\-"/>
    <numFmt numFmtId="168" formatCode="0.0\x"/>
    <numFmt numFmtId="169" formatCode="#,##0.0;\(#,##0.0\);\-"/>
    <numFmt numFmtId="170" formatCode="#,##0.00"/>
    <numFmt numFmtId="171" formatCode="0.0"/>
    <numFmt numFmtId="172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8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3" t="s">
        <v>25</v>
      </c>
    </row>
    <row r="31" customFormat="false" ht="15" hidden="false" customHeight="false" outlineLevel="0" collapsed="false">
      <c r="A31" s="3" t="s">
        <v>26</v>
      </c>
    </row>
    <row r="32" customFormat="false" ht="15" hidden="false" customHeight="false" outlineLevel="0" collapsed="false">
      <c r="A32" s="3" t="s">
        <v>27</v>
      </c>
    </row>
    <row r="33" customFormat="false" ht="15" hidden="false" customHeight="false" outlineLevel="0" collapsed="false">
      <c r="A33" s="3" t="s">
        <v>28</v>
      </c>
    </row>
    <row r="34" customFormat="false" ht="15" hidden="false" customHeight="false" outlineLevel="0" collapsed="false">
      <c r="A34" s="3" t="s">
        <v>29</v>
      </c>
    </row>
    <row r="35" customFormat="false" ht="15" hidden="false" customHeight="false" outlineLevel="0" collapsed="false">
      <c r="A35" s="3" t="s">
        <v>30</v>
      </c>
    </row>
    <row r="36" customFormat="false" ht="15" hidden="false" customHeight="false" outlineLevel="0" collapsed="false">
      <c r="A36" s="3"/>
    </row>
    <row r="37" customFormat="false" ht="15" hidden="false" customHeight="false" outlineLevel="0" collapsed="false">
      <c r="A37" s="2" t="s">
        <v>31</v>
      </c>
    </row>
    <row r="38" customFormat="false" ht="15" hidden="false" customHeight="false" outlineLevel="0" collapsed="false">
      <c r="A38" s="3" t="s">
        <v>32</v>
      </c>
    </row>
    <row r="39" customFormat="false" ht="15" hidden="false" customHeight="false" outlineLevel="0" collapsed="false">
      <c r="A39" s="3" t="s">
        <v>33</v>
      </c>
    </row>
    <row r="40" customFormat="false" ht="15" hidden="false" customHeight="false" outlineLevel="0" collapsed="false">
      <c r="A40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62"/>
  </cols>
  <sheetData>
    <row r="1" customFormat="false" ht="16.15" hidden="false" customHeight="false" outlineLevel="0" collapsed="false">
      <c r="A1" s="1" t="s">
        <v>35</v>
      </c>
    </row>
    <row r="3" customFormat="false" ht="15" hidden="false" customHeight="false" outlineLevel="0" collapsed="false">
      <c r="A3" s="4" t="s">
        <v>36</v>
      </c>
      <c r="B3" s="4" t="s">
        <v>37</v>
      </c>
      <c r="C3" s="4" t="s">
        <v>38</v>
      </c>
    </row>
    <row r="4" customFormat="false" ht="15" hidden="false" customHeight="false" outlineLevel="0" collapsed="false">
      <c r="A4" s="5" t="s">
        <v>39</v>
      </c>
      <c r="B4" s="6" t="n">
        <v>0.07</v>
      </c>
      <c r="C4" s="7" t="s">
        <v>40</v>
      </c>
    </row>
    <row r="5" customFormat="false" ht="15" hidden="false" customHeight="false" outlineLevel="0" collapsed="false">
      <c r="A5" s="5" t="s">
        <v>41</v>
      </c>
      <c r="B5" s="6" t="n">
        <v>0.06</v>
      </c>
      <c r="C5" s="7" t="s">
        <v>42</v>
      </c>
    </row>
    <row r="6" customFormat="false" ht="15" hidden="false" customHeight="false" outlineLevel="0" collapsed="false">
      <c r="A6" s="5" t="s">
        <v>43</v>
      </c>
      <c r="B6" s="8" t="n">
        <v>1.1</v>
      </c>
      <c r="C6" s="7" t="s">
        <v>44</v>
      </c>
    </row>
    <row r="7" customFormat="false" ht="15" hidden="false" customHeight="false" outlineLevel="0" collapsed="false">
      <c r="A7" s="5" t="s">
        <v>45</v>
      </c>
      <c r="B7" s="6" t="n">
        <v>0.1</v>
      </c>
      <c r="C7" s="7" t="s">
        <v>46</v>
      </c>
    </row>
    <row r="8" customFormat="false" ht="15" hidden="false" customHeight="false" outlineLevel="0" collapsed="false">
      <c r="A8" s="5" t="s">
        <v>47</v>
      </c>
      <c r="B8" s="6" t="n">
        <v>0.25</v>
      </c>
      <c r="C8" s="7" t="s">
        <v>48</v>
      </c>
    </row>
    <row r="9" customFormat="false" ht="15" hidden="false" customHeight="false" outlineLevel="0" collapsed="false">
      <c r="A9" s="5" t="s">
        <v>49</v>
      </c>
      <c r="B9" s="9" t="n">
        <v>13048</v>
      </c>
      <c r="C9" s="7" t="s">
        <v>50</v>
      </c>
    </row>
    <row r="10" customFormat="false" ht="15" hidden="false" customHeight="false" outlineLevel="0" collapsed="false">
      <c r="A10" s="5" t="s">
        <v>51</v>
      </c>
      <c r="B10" s="9" t="n">
        <v>2412</v>
      </c>
      <c r="C10" s="7" t="s">
        <v>52</v>
      </c>
    </row>
    <row r="11" customFormat="false" ht="15" hidden="false" customHeight="false" outlineLevel="0" collapsed="false">
      <c r="A11" s="5" t="s">
        <v>53</v>
      </c>
      <c r="B11" s="9" t="n">
        <v>3661</v>
      </c>
      <c r="C11" s="7" t="s">
        <v>52</v>
      </c>
    </row>
    <row r="12" customFormat="false" ht="15" hidden="false" customHeight="false" outlineLevel="0" collapsed="false">
      <c r="A12" s="5" t="s">
        <v>54</v>
      </c>
      <c r="B12" s="6" t="n">
        <v>0.04</v>
      </c>
      <c r="C12" s="7" t="s">
        <v>55</v>
      </c>
    </row>
    <row r="13" customFormat="false" ht="15" hidden="false" customHeight="false" outlineLevel="0" collapsed="false">
      <c r="A13" s="5" t="s">
        <v>56</v>
      </c>
      <c r="B13" s="10" t="n">
        <v>9</v>
      </c>
      <c r="C13" s="7" t="s">
        <v>57</v>
      </c>
    </row>
    <row r="14" customFormat="false" ht="15" hidden="false" customHeight="false" outlineLevel="0" collapsed="false">
      <c r="A14" s="5" t="s">
        <v>58</v>
      </c>
      <c r="B14" s="11" t="n">
        <v>87.17</v>
      </c>
      <c r="C14" s="7" t="s">
        <v>59</v>
      </c>
    </row>
    <row r="15" customFormat="false" ht="15" hidden="false" customHeight="false" outlineLevel="0" collapsed="false">
      <c r="A15" s="5" t="s">
        <v>60</v>
      </c>
      <c r="B15" s="12" t="n">
        <v>149.6865</v>
      </c>
      <c r="C15" s="7" t="s">
        <v>61</v>
      </c>
    </row>
    <row r="17" customFormat="false" ht="15" hidden="false" customHeight="false" outlineLevel="0" collapsed="false">
      <c r="A17" s="13" t="s">
        <v>62</v>
      </c>
    </row>
    <row r="18" customFormat="false" ht="15" hidden="false" customHeight="false" outlineLevel="0" collapsed="false">
      <c r="A18" s="5" t="s">
        <v>63</v>
      </c>
      <c r="B18" s="14" t="n">
        <f aca="false">B4+B6*B5</f>
        <v>0.136</v>
      </c>
      <c r="C18" s="7" t="s">
        <v>64</v>
      </c>
    </row>
    <row r="19" customFormat="false" ht="15" hidden="false" customHeight="false" outlineLevel="0" collapsed="false">
      <c r="A19" s="5" t="s">
        <v>65</v>
      </c>
      <c r="B19" s="14" t="n">
        <f aca="false">B7*(1-B8)</f>
        <v>0.075</v>
      </c>
    </row>
    <row r="20" customFormat="false" ht="15" hidden="false" customHeight="false" outlineLevel="0" collapsed="false">
      <c r="A20" s="5" t="s">
        <v>66</v>
      </c>
      <c r="B20" s="15" t="n">
        <f aca="false">B10-B11</f>
        <v>-1249</v>
      </c>
    </row>
    <row r="21" customFormat="false" ht="15" hidden="false" customHeight="false" outlineLevel="0" collapsed="false">
      <c r="A21" s="5" t="s">
        <v>67</v>
      </c>
      <c r="B21" s="15" t="n">
        <f aca="false">B9+B20</f>
        <v>11799</v>
      </c>
    </row>
    <row r="22" customFormat="false" ht="15" hidden="false" customHeight="false" outlineLevel="0" collapsed="false">
      <c r="A22" s="5" t="s">
        <v>68</v>
      </c>
      <c r="B22" s="14" t="n">
        <f aca="false">B9/(B9+B10)</f>
        <v>0.84398447606727</v>
      </c>
      <c r="C22" s="7" t="s">
        <v>69</v>
      </c>
    </row>
    <row r="23" customFormat="false" ht="15" hidden="false" customHeight="false" outlineLevel="0" collapsed="false">
      <c r="A23" s="5" t="s">
        <v>70</v>
      </c>
      <c r="B23" s="14" t="n">
        <f aca="false">B10/(B9+B10)</f>
        <v>0.15601552393273</v>
      </c>
    </row>
    <row r="24" customFormat="false" ht="15" hidden="false" customHeight="false" outlineLevel="0" collapsed="false">
      <c r="A24" s="4" t="s">
        <v>71</v>
      </c>
      <c r="B24" s="16" t="n">
        <f aca="false">B22*B18+B23*B19</f>
        <v>0.126483053040104</v>
      </c>
    </row>
    <row r="26" customFormat="false" ht="15" hidden="false" customHeight="false" outlineLevel="0" collapsed="false">
      <c r="A26" s="7" t="s">
        <v>72</v>
      </c>
    </row>
    <row r="27" customFormat="false" ht="15" hidden="false" customHeight="false" outlineLevel="0" collapsed="false">
      <c r="A27" s="7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3"/>
  </cols>
  <sheetData>
    <row r="1" customFormat="false" ht="16.15" hidden="false" customHeight="false" outlineLevel="0" collapsed="false">
      <c r="A1" s="1" t="s">
        <v>74</v>
      </c>
    </row>
    <row r="2" customFormat="false" ht="15" hidden="false" customHeight="false" outlineLevel="0" collapsed="false">
      <c r="A2" s="7" t="s">
        <v>75</v>
      </c>
    </row>
    <row r="4" customFormat="false" ht="15" hidden="false" customHeight="false" outlineLevel="0" collapsed="false">
      <c r="A4" s="4" t="s">
        <v>76</v>
      </c>
      <c r="B4" s="17" t="s">
        <v>77</v>
      </c>
      <c r="C4" s="17" t="s">
        <v>78</v>
      </c>
      <c r="D4" s="17" t="s">
        <v>79</v>
      </c>
      <c r="E4" s="17" t="s">
        <v>80</v>
      </c>
      <c r="F4" s="17" t="s">
        <v>81</v>
      </c>
    </row>
    <row r="5" customFormat="false" ht="15" hidden="false" customHeight="false" outlineLevel="0" collapsed="false">
      <c r="A5" s="13" t="s">
        <v>82</v>
      </c>
      <c r="B5" s="18"/>
      <c r="C5" s="18"/>
      <c r="D5" s="18"/>
      <c r="E5" s="18"/>
      <c r="F5" s="18"/>
    </row>
    <row r="6" customFormat="false" ht="15" hidden="false" customHeight="false" outlineLevel="0" collapsed="false">
      <c r="A6" s="5" t="s">
        <v>83</v>
      </c>
      <c r="B6" s="9" t="n">
        <v>1317.5</v>
      </c>
      <c r="C6" s="9" t="n">
        <v>1390</v>
      </c>
      <c r="D6" s="9" t="n">
        <v>1481.1</v>
      </c>
      <c r="E6" s="9" t="n">
        <v>1547.8</v>
      </c>
      <c r="F6" s="9" t="n">
        <v>1633.2</v>
      </c>
      <c r="G6" s="7" t="s">
        <v>84</v>
      </c>
    </row>
    <row r="7" customFormat="false" ht="15" hidden="false" customHeight="false" outlineLevel="0" collapsed="false">
      <c r="A7" s="5" t="s">
        <v>85</v>
      </c>
      <c r="B7" s="9" t="n">
        <v>998.1</v>
      </c>
      <c r="C7" s="9" t="n">
        <v>1056.9</v>
      </c>
      <c r="D7" s="9" t="n">
        <v>1133.4</v>
      </c>
      <c r="E7" s="9" t="n">
        <v>1185.4</v>
      </c>
      <c r="F7" s="9" t="n">
        <v>1255.4</v>
      </c>
      <c r="G7" s="7" t="s">
        <v>86</v>
      </c>
    </row>
    <row r="8" customFormat="false" ht="15" hidden="false" customHeight="false" outlineLevel="0" collapsed="false">
      <c r="A8" s="5" t="s">
        <v>87</v>
      </c>
      <c r="B8" s="15" t="n">
        <f aca="false">-B7*Assumptions!$B$8</f>
        <v>-249.525</v>
      </c>
      <c r="C8" s="15" t="n">
        <f aca="false">-C7*Assumptions!$B$8</f>
        <v>-264.225</v>
      </c>
      <c r="D8" s="15" t="n">
        <f aca="false">-D7*Assumptions!$B$8</f>
        <v>-283.35</v>
      </c>
      <c r="E8" s="15" t="n">
        <f aca="false">-E7*Assumptions!$B$8</f>
        <v>-296.35</v>
      </c>
      <c r="F8" s="15" t="n">
        <f aca="false">-F7*Assumptions!$B$8</f>
        <v>-313.85</v>
      </c>
    </row>
    <row r="9" customFormat="false" ht="15" hidden="false" customHeight="false" outlineLevel="0" collapsed="false">
      <c r="A9" s="4" t="s">
        <v>88</v>
      </c>
      <c r="B9" s="19" t="n">
        <f aca="false">B7+B8</f>
        <v>748.575</v>
      </c>
      <c r="C9" s="19" t="n">
        <f aca="false">C7+C8</f>
        <v>792.675</v>
      </c>
      <c r="D9" s="19" t="n">
        <f aca="false">D7+D8</f>
        <v>850.05</v>
      </c>
      <c r="E9" s="19" t="n">
        <f aca="false">E7+E8</f>
        <v>889.05</v>
      </c>
      <c r="F9" s="19" t="n">
        <f aca="false">F7+F8</f>
        <v>941.55</v>
      </c>
    </row>
    <row r="10" customFormat="false" ht="15" hidden="false" customHeight="false" outlineLevel="0" collapsed="false">
      <c r="A10" s="5" t="s">
        <v>89</v>
      </c>
      <c r="B10" s="9" t="n">
        <v>319.4</v>
      </c>
      <c r="C10" s="9" t="n">
        <v>333</v>
      </c>
      <c r="D10" s="9" t="n">
        <v>347.7</v>
      </c>
      <c r="E10" s="9" t="n">
        <v>362.4</v>
      </c>
      <c r="F10" s="9" t="n">
        <v>377.8</v>
      </c>
      <c r="G10" s="7" t="s">
        <v>90</v>
      </c>
    </row>
    <row r="11" customFormat="false" ht="15" hidden="false" customHeight="false" outlineLevel="0" collapsed="false">
      <c r="A11" s="5" t="s">
        <v>91</v>
      </c>
      <c r="B11" s="9" t="n">
        <v>488</v>
      </c>
      <c r="C11" s="9" t="n">
        <v>514.8</v>
      </c>
      <c r="D11" s="9" t="n">
        <v>529.7</v>
      </c>
      <c r="E11" s="9" t="n">
        <v>553.6</v>
      </c>
      <c r="F11" s="9" t="n">
        <v>564</v>
      </c>
      <c r="G11" s="7" t="s">
        <v>92</v>
      </c>
    </row>
    <row r="12" customFormat="false" ht="15" hidden="false" customHeight="false" outlineLevel="0" collapsed="false">
      <c r="A12" s="5" t="s">
        <v>93</v>
      </c>
      <c r="B12" s="15" t="n">
        <f aca="false">-B11</f>
        <v>-488</v>
      </c>
      <c r="C12" s="15" t="n">
        <f aca="false">-C11</f>
        <v>-514.8</v>
      </c>
      <c r="D12" s="15" t="n">
        <f aca="false">-D11</f>
        <v>-529.7</v>
      </c>
      <c r="E12" s="15" t="n">
        <f aca="false">-E11</f>
        <v>-553.6</v>
      </c>
      <c r="F12" s="15" t="n">
        <f aca="false">-F11</f>
        <v>-564</v>
      </c>
    </row>
    <row r="13" customFormat="false" ht="15" hidden="false" customHeight="false" outlineLevel="0" collapsed="false">
      <c r="A13" s="5" t="s">
        <v>94</v>
      </c>
      <c r="B13" s="9" t="n">
        <v>-61.1</v>
      </c>
      <c r="C13" s="9" t="n">
        <v>-53.1</v>
      </c>
      <c r="D13" s="9" t="n">
        <v>-22.7</v>
      </c>
      <c r="E13" s="9" t="n">
        <v>-53.5</v>
      </c>
      <c r="F13" s="9" t="n">
        <v>-49</v>
      </c>
      <c r="G13" s="7" t="s">
        <v>95</v>
      </c>
    </row>
    <row r="14" customFormat="false" ht="15" hidden="false" customHeight="false" outlineLevel="0" collapsed="false">
      <c r="A14" s="4" t="s">
        <v>96</v>
      </c>
      <c r="B14" s="20" t="n">
        <f aca="false">B9+B10+B12+B13</f>
        <v>518.875</v>
      </c>
      <c r="C14" s="20" t="n">
        <f aca="false">C9+C10+C12+C13</f>
        <v>557.775</v>
      </c>
      <c r="D14" s="20" t="n">
        <f aca="false">D9+D10+D12+D13</f>
        <v>645.35</v>
      </c>
      <c r="E14" s="20" t="n">
        <f aca="false">E9+E10+E12+E13</f>
        <v>644.35</v>
      </c>
      <c r="F14" s="20" t="n">
        <f aca="false">F9+F10+F12+F13</f>
        <v>706.35</v>
      </c>
    </row>
    <row r="16" customFormat="false" ht="15" hidden="false" customHeight="false" outlineLevel="0" collapsed="false">
      <c r="A16" s="13" t="s">
        <v>97</v>
      </c>
      <c r="B16" s="18"/>
      <c r="C16" s="18"/>
      <c r="D16" s="18"/>
      <c r="E16" s="18"/>
      <c r="F16" s="18"/>
    </row>
    <row r="17" customFormat="false" ht="15" hidden="false" customHeight="false" outlineLevel="0" collapsed="false">
      <c r="A17" s="5" t="s">
        <v>98</v>
      </c>
      <c r="B17" s="21" t="n">
        <v>0.5</v>
      </c>
      <c r="C17" s="21" t="n">
        <v>1.5</v>
      </c>
      <c r="D17" s="21" t="n">
        <v>2.5</v>
      </c>
      <c r="E17" s="21" t="n">
        <v>3.5</v>
      </c>
      <c r="F17" s="21" t="n">
        <v>4.5</v>
      </c>
    </row>
    <row r="18" customFormat="false" ht="15" hidden="false" customHeight="false" outlineLevel="0" collapsed="false">
      <c r="A18" s="5" t="s">
        <v>99</v>
      </c>
      <c r="B18" s="22" t="n">
        <f aca="false">1/(1+Assumptions!$B$24)^B17</f>
        <v>0.942188217184859</v>
      </c>
      <c r="C18" s="22" t="n">
        <f aca="false">1/(1+Assumptions!$B$24)^C17</f>
        <v>0.836398039581796</v>
      </c>
      <c r="D18" s="22" t="n">
        <f aca="false">1/(1+Assumptions!$B$24)^D17</f>
        <v>0.742486127354123</v>
      </c>
      <c r="E18" s="22" t="n">
        <f aca="false">1/(1+Assumptions!$B$24)^E17</f>
        <v>0.659118772670689</v>
      </c>
      <c r="F18" s="22" t="n">
        <f aca="false">1/(1+Assumptions!$B$24)^F17</f>
        <v>0.585112018233996</v>
      </c>
    </row>
    <row r="19" customFormat="false" ht="15" hidden="false" customHeight="false" outlineLevel="0" collapsed="false">
      <c r="A19" s="5" t="s">
        <v>100</v>
      </c>
      <c r="B19" s="15" t="n">
        <f aca="false">B14*B18</f>
        <v>488.877911191794</v>
      </c>
      <c r="C19" s="15" t="n">
        <f aca="false">C14*C18</f>
        <v>466.521916527737</v>
      </c>
      <c r="D19" s="15" t="n">
        <f aca="false">D14*D18</f>
        <v>479.163422287983</v>
      </c>
      <c r="E19" s="15" t="n">
        <f aca="false">E14*E18</f>
        <v>424.703181170358</v>
      </c>
      <c r="F19" s="15" t="n">
        <f aca="false">F14*F18</f>
        <v>413.293874079583</v>
      </c>
    </row>
    <row r="20" customFormat="false" ht="15" hidden="false" customHeight="false" outlineLevel="0" collapsed="false">
      <c r="A20" s="4" t="s">
        <v>101</v>
      </c>
      <c r="B20" s="19" t="n">
        <f aca="false">SUM(B19:F19)</f>
        <v>2272.56030525746</v>
      </c>
    </row>
    <row r="22" customFormat="false" ht="15" hidden="false" customHeight="false" outlineLevel="0" collapsed="false">
      <c r="A22" s="13" t="s">
        <v>102</v>
      </c>
      <c r="B22" s="18"/>
      <c r="C22" s="18"/>
      <c r="D22" s="18"/>
      <c r="E22" s="18"/>
      <c r="F22" s="18"/>
    </row>
    <row r="23" customFormat="false" ht="15" hidden="false" customHeight="false" outlineLevel="0" collapsed="false">
      <c r="A23" s="5" t="s">
        <v>103</v>
      </c>
      <c r="B23" s="23" t="n">
        <f aca="false">F17+0.5</f>
        <v>5</v>
      </c>
      <c r="C23" s="7" t="s">
        <v>104</v>
      </c>
    </row>
    <row r="24" customFormat="false" ht="15" hidden="false" customHeight="false" outlineLevel="0" collapsed="false">
      <c r="A24" s="4" t="s">
        <v>105</v>
      </c>
    </row>
    <row r="25" customFormat="false" ht="15" hidden="false" customHeight="false" outlineLevel="0" collapsed="false">
      <c r="A25" s="5" t="s">
        <v>106</v>
      </c>
      <c r="B25" s="15" t="n">
        <f aca="false">$B$33*(1+Assumptions!$B$12)/(Assumptions!$B$24-Assumptions!$B$12)</f>
        <v>10733.3398552611</v>
      </c>
    </row>
    <row r="26" customFormat="false" ht="15" hidden="false" customHeight="false" outlineLevel="0" collapsed="false">
      <c r="A26" s="5" t="s">
        <v>107</v>
      </c>
      <c r="B26" s="15" t="n">
        <f aca="false">B25/(1+Assumptions!$B$24)^B23</f>
        <v>5917.13623140818</v>
      </c>
    </row>
    <row r="27" customFormat="false" ht="15" hidden="false" customHeight="false" outlineLevel="0" collapsed="false">
      <c r="A27" s="5" t="s">
        <v>108</v>
      </c>
      <c r="B27" s="24" t="n">
        <f aca="false">B25/F6</f>
        <v>6.57196905171508</v>
      </c>
    </row>
    <row r="28" customFormat="false" ht="15" hidden="false" customHeight="false" outlineLevel="0" collapsed="false">
      <c r="A28" s="4" t="s">
        <v>109</v>
      </c>
    </row>
    <row r="29" customFormat="false" ht="15" hidden="false" customHeight="false" outlineLevel="0" collapsed="false">
      <c r="A29" s="5" t="s">
        <v>106</v>
      </c>
      <c r="B29" s="15" t="n">
        <f aca="false">F6*Assumptions!$B$13</f>
        <v>14698.8</v>
      </c>
    </row>
    <row r="30" customFormat="false" ht="15" hidden="false" customHeight="false" outlineLevel="0" collapsed="false">
      <c r="A30" s="5" t="s">
        <v>107</v>
      </c>
      <c r="B30" s="15" t="n">
        <f aca="false">B29/(1+Assumptions!$B$24)^B23</f>
        <v>8103.23750212668</v>
      </c>
    </row>
    <row r="31" customFormat="false" ht="15" hidden="false" customHeight="false" outlineLevel="0" collapsed="false">
      <c r="A31" s="5" t="s">
        <v>110</v>
      </c>
      <c r="B31" s="14" t="n">
        <f aca="false">(Assumptions!$B$24*B29-F14)/(B29+F14)</f>
        <v>0.0748320594103838</v>
      </c>
    </row>
    <row r="32" customFormat="false" ht="15" hidden="false" customHeight="false" outlineLevel="0" collapsed="false">
      <c r="A32" s="5" t="s">
        <v>111</v>
      </c>
      <c r="B32" s="10" t="n">
        <v>1</v>
      </c>
      <c r="C32" s="7" t="s">
        <v>112</v>
      </c>
    </row>
    <row r="33" customFormat="false" ht="15" hidden="false" customHeight="false" outlineLevel="0" collapsed="false">
      <c r="A33" s="4" t="s">
        <v>113</v>
      </c>
      <c r="B33" s="19" t="n">
        <f aca="false">F9+F10-F10*$B$32+F13</f>
        <v>892.55</v>
      </c>
      <c r="C33" s="7" t="s">
        <v>114</v>
      </c>
    </row>
    <row r="34" customFormat="false" ht="15" hidden="false" customHeight="false" outlineLevel="0" collapsed="false">
      <c r="A34" s="7" t="s">
        <v>115</v>
      </c>
    </row>
    <row r="40" customFormat="false" ht="15" hidden="false" customHeight="false" outlineLevel="0" collapsed="false">
      <c r="A40" s="13" t="s">
        <v>116</v>
      </c>
      <c r="B40" s="18"/>
      <c r="C40" s="18"/>
      <c r="D40" s="18"/>
      <c r="E40" s="18"/>
      <c r="F40" s="18"/>
    </row>
    <row r="41" customFormat="false" ht="15" hidden="false" customHeight="false" outlineLevel="0" collapsed="false">
      <c r="A41" s="5" t="s">
        <v>117</v>
      </c>
      <c r="B41" s="15" t="n">
        <f aca="false">B20</f>
        <v>2272.56030525746</v>
      </c>
    </row>
    <row r="42" customFormat="false" ht="15" hidden="false" customHeight="false" outlineLevel="0" collapsed="false">
      <c r="A42" s="5" t="s">
        <v>118</v>
      </c>
      <c r="B42" s="15" t="n">
        <f aca="false">B26</f>
        <v>5917.13623140818</v>
      </c>
    </row>
    <row r="43" customFormat="false" ht="15" hidden="false" customHeight="false" outlineLevel="0" collapsed="false">
      <c r="A43" s="4" t="s">
        <v>119</v>
      </c>
      <c r="B43" s="19" t="n">
        <f aca="false">B41+B42</f>
        <v>8189.69653666563</v>
      </c>
    </row>
    <row r="44" customFormat="false" ht="15" hidden="false" customHeight="false" outlineLevel="0" collapsed="false">
      <c r="A44" s="5" t="s">
        <v>120</v>
      </c>
      <c r="B44" s="25" t="n">
        <f aca="false">B42/B43</f>
        <v>0.722509827429734</v>
      </c>
      <c r="C44" s="7" t="s">
        <v>121</v>
      </c>
    </row>
    <row r="45" customFormat="false" ht="15" hidden="false" customHeight="false" outlineLevel="0" collapsed="false">
      <c r="A45" s="5" t="s">
        <v>122</v>
      </c>
      <c r="B45" s="24" t="n">
        <f aca="false">B43/1243</f>
        <v>6.58865368999649</v>
      </c>
      <c r="C45" s="7" t="s">
        <v>123</v>
      </c>
    </row>
    <row r="46" customFormat="false" ht="15" hidden="false" customHeight="false" outlineLevel="0" collapsed="false">
      <c r="A46" s="5" t="s">
        <v>124</v>
      </c>
      <c r="B46" s="15" t="n">
        <f aca="false">-Assumptions!B20</f>
        <v>1249</v>
      </c>
    </row>
    <row r="47" customFormat="false" ht="15" hidden="false" customHeight="false" outlineLevel="0" collapsed="false">
      <c r="A47" s="4" t="s">
        <v>125</v>
      </c>
      <c r="B47" s="19" t="n">
        <f aca="false">B43+B46</f>
        <v>9438.69653666563</v>
      </c>
    </row>
    <row r="48" customFormat="false" ht="15" hidden="false" customHeight="false" outlineLevel="0" collapsed="false">
      <c r="A48" s="5" t="s">
        <v>58</v>
      </c>
      <c r="B48" s="26" t="n">
        <f aca="false">Assumptions!B14</f>
        <v>87.17</v>
      </c>
    </row>
    <row r="49" customFormat="false" ht="15" hidden="false" customHeight="false" outlineLevel="0" collapsed="false">
      <c r="A49" s="4" t="s">
        <v>126</v>
      </c>
      <c r="B49" s="27" t="n">
        <f aca="false">B47/B48</f>
        <v>108.279184773037</v>
      </c>
    </row>
    <row r="50" customFormat="false" ht="15" hidden="false" customHeight="false" outlineLevel="0" collapsed="false">
      <c r="A50" s="5" t="s">
        <v>60</v>
      </c>
      <c r="B50" s="28" t="n">
        <f aca="false">Assumptions!B15</f>
        <v>149.6865</v>
      </c>
    </row>
    <row r="51" customFormat="false" ht="15" hidden="false" customHeight="false" outlineLevel="0" collapsed="false">
      <c r="A51" s="4" t="s">
        <v>127</v>
      </c>
      <c r="B51" s="29" t="n">
        <f aca="false">B49/B50-1</f>
        <v>-0.276626918439292</v>
      </c>
    </row>
    <row r="53" customFormat="false" ht="15" hidden="false" customHeight="false" outlineLevel="0" collapsed="false">
      <c r="A53" s="13" t="s">
        <v>128</v>
      </c>
      <c r="B53" s="18"/>
      <c r="C53" s="18"/>
      <c r="D53" s="18"/>
      <c r="E53" s="18"/>
      <c r="F53" s="18"/>
    </row>
    <row r="54" customFormat="false" ht="15" hidden="false" customHeight="false" outlineLevel="0" collapsed="false">
      <c r="A54" s="5" t="s">
        <v>119</v>
      </c>
      <c r="B54" s="15" t="n">
        <f aca="false">B20+B30</f>
        <v>10375.7978073841</v>
      </c>
    </row>
    <row r="55" customFormat="false" ht="15" hidden="false" customHeight="false" outlineLevel="0" collapsed="false">
      <c r="A55" s="5" t="s">
        <v>125</v>
      </c>
      <c r="B55" s="15" t="n">
        <f aca="false">B54-Assumptions!B20</f>
        <v>11624.7978073841</v>
      </c>
    </row>
    <row r="56" customFormat="false" ht="15" hidden="false" customHeight="false" outlineLevel="0" collapsed="false">
      <c r="A56" s="4" t="s">
        <v>126</v>
      </c>
      <c r="B56" s="30" t="n">
        <f aca="false">B55/B48</f>
        <v>133.357781431503</v>
      </c>
    </row>
    <row r="58" customFormat="false" ht="15" hidden="false" customHeight="false" outlineLevel="0" collapsed="false">
      <c r="A58" s="13" t="s">
        <v>129</v>
      </c>
      <c r="B58" s="18"/>
      <c r="C58" s="18"/>
      <c r="D58" s="18"/>
      <c r="E58" s="18"/>
      <c r="F58" s="18"/>
    </row>
    <row r="59" customFormat="false" ht="15" hidden="false" customHeight="false" outlineLevel="0" collapsed="false">
      <c r="A59" s="7" t="s">
        <v>130</v>
      </c>
    </row>
    <row r="60" customFormat="false" ht="15" hidden="false" customHeight="false" outlineLevel="0" collapsed="false">
      <c r="A60" s="7" t="s">
        <v>131</v>
      </c>
    </row>
    <row r="61" customFormat="false" ht="15" hidden="false" customHeight="false" outlineLevel="0" collapsed="false">
      <c r="A61" s="5" t="s">
        <v>132</v>
      </c>
      <c r="B61" s="31" t="n">
        <f aca="false">Assumptions!B9</f>
        <v>13048</v>
      </c>
    </row>
    <row r="62" customFormat="false" ht="15" hidden="false" customHeight="false" outlineLevel="0" collapsed="false">
      <c r="A62" s="5" t="s">
        <v>133</v>
      </c>
      <c r="B62" s="15" t="n">
        <f aca="false">B61+Assumptions!B20</f>
        <v>11799</v>
      </c>
    </row>
    <row r="63" customFormat="false" ht="15" hidden="false" customHeight="false" outlineLevel="0" collapsed="false">
      <c r="A63" s="5" t="s">
        <v>134</v>
      </c>
      <c r="B63" s="15" t="n">
        <f aca="false">(B62-B20)*(1+Assumptions!$B$24)^B23</f>
        <v>17280.4057326879</v>
      </c>
    </row>
    <row r="64" customFormat="false" ht="15" hidden="false" customHeight="false" outlineLevel="0" collapsed="false">
      <c r="A64" s="4" t="s">
        <v>135</v>
      </c>
      <c r="B64" s="16" t="n">
        <f aca="false">(B63*Assumptions!$B$24-$B$33)/(B63+$B$33)</f>
        <v>0.0711567503857454</v>
      </c>
    </row>
    <row r="65" customFormat="false" ht="15" hidden="false" customHeight="false" outlineLevel="0" collapsed="false">
      <c r="A65" s="4" t="s">
        <v>136</v>
      </c>
      <c r="B65" s="32" t="n">
        <f aca="false">B63/F6</f>
        <v>10.5807039754396</v>
      </c>
    </row>
    <row r="66" customFormat="false" ht="15" hidden="false" customHeight="false" outlineLevel="0" collapsed="false">
      <c r="A66" s="7" t="s">
        <v>137</v>
      </c>
    </row>
    <row r="67" customFormat="false" ht="15" hidden="false" customHeight="false" outlineLevel="0" collapsed="false">
      <c r="A67" s="7" t="s">
        <v>138</v>
      </c>
    </row>
    <row r="68" customFormat="false" ht="15" hidden="false" customHeight="false" outlineLevel="0" collapsed="false">
      <c r="A68" s="7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2"/>
  </cols>
  <sheetData>
    <row r="1" customFormat="false" ht="16.1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7" t="s">
        <v>141</v>
      </c>
    </row>
    <row r="4" customFormat="false" ht="15" hidden="false" customHeight="false" outlineLevel="0" collapsed="false">
      <c r="A4" s="13" t="s">
        <v>142</v>
      </c>
    </row>
    <row r="5" customFormat="false" ht="15" hidden="false" customHeight="false" outlineLevel="0" collapsed="false">
      <c r="A5" s="17" t="s">
        <v>71</v>
      </c>
      <c r="B5" s="33" t="n">
        <v>0.03</v>
      </c>
      <c r="C5" s="33" t="n">
        <v>0.035</v>
      </c>
      <c r="D5" s="33" t="n">
        <v>0.04</v>
      </c>
      <c r="E5" s="33" t="n">
        <v>0.045</v>
      </c>
      <c r="F5" s="33" t="n">
        <v>0.05</v>
      </c>
    </row>
    <row r="6" customFormat="false" ht="15" hidden="false" customHeight="false" outlineLevel="0" collapsed="false">
      <c r="A6" s="33" t="n">
        <v>0.08</v>
      </c>
      <c r="B6" s="34" t="n">
        <f aca="false">(SUMPRODUCT(DCF!$B$14:$F$14,(1+$A6)^-DCF!$B$17:$F$17)+DCF!$F$14*(1+B$5)/($A6-B$5)/(1+$A6)^DCF!$B$23-Assumptions!$B$20)/Assumptions!$B$14</f>
        <v>156.848342928476</v>
      </c>
      <c r="C6" s="34" t="n">
        <f aca="false">(SUMPRODUCT(DCF!$B$14:$F$14,(1+$A6)^-DCF!$B$17:$F$17)+DCF!$F$14*(1+C$5)/($A6-C$5)/(1+$A6)^DCF!$B$23-Assumptions!$B$20)/Assumptions!$B$14</f>
        <v>170.083995778533</v>
      </c>
      <c r="D6" s="34" t="n">
        <f aca="false">(SUMPRODUCT(DCF!$B$14:$F$14,(1+$A6)^-DCF!$B$17:$F$17)+DCF!$F$14*(1+D$5)/($A6-D$5)/(1+$A6)^DCF!$B$23-Assumptions!$B$20)/Assumptions!$B$14</f>
        <v>186.628561841105</v>
      </c>
      <c r="E6" s="34" t="n">
        <f aca="false">(SUMPRODUCT(DCF!$B$14:$F$14,(1+$A6)^-DCF!$B$17:$F$17)+DCF!$F$14*(1+E$5)/($A6-E$5)/(1+$A6)^DCF!$B$23-Assumptions!$B$20)/Assumptions!$B$14</f>
        <v>207.900146778697</v>
      </c>
      <c r="F6" s="34" t="n">
        <f aca="false">(SUMPRODUCT(DCF!$B$14:$F$14,(1+$A6)^-DCF!$B$17:$F$17)+DCF!$F$14*(1+F$5)/($A6-F$5)/(1+$A6)^DCF!$B$23-Assumptions!$B$20)/Assumptions!$B$14</f>
        <v>236.26226002882</v>
      </c>
    </row>
    <row r="7" customFormat="false" ht="15" hidden="false" customHeight="false" outlineLevel="0" collapsed="false">
      <c r="A7" s="33" t="n">
        <v>0.09</v>
      </c>
      <c r="B7" s="34" t="n">
        <f aca="false">(SUMPRODUCT(DCF!$B$14:$F$14,(1+$A7)^-DCF!$B$17:$F$17)+DCF!$F$14*(1+B$5)/($A7-B$5)/(1+$A7)^DCF!$B$23-Assumptions!$B$20)/Assumptions!$B$14</f>
        <v>132.994418568423</v>
      </c>
      <c r="C7" s="34" t="n">
        <f aca="false">(SUMPRODUCT(DCF!$B$14:$F$14,(1+$A7)^-DCF!$B$17:$F$17)+DCF!$F$14*(1+C$5)/($A7-C$5)/(1+$A7)^DCF!$B$23-Assumptions!$B$20)/Assumptions!$B$14</f>
        <v>141.692089574153</v>
      </c>
      <c r="D7" s="34" t="n">
        <f aca="false">(SUMPRODUCT(DCF!$B$14:$F$14,(1+$A7)^-DCF!$B$17:$F$17)+DCF!$F$14*(1+D$5)/($A7-D$5)/(1+$A7)^DCF!$B$23-Assumptions!$B$20)/Assumptions!$B$14</f>
        <v>152.12929478103</v>
      </c>
      <c r="E7" s="34" t="n">
        <f aca="false">(SUMPRODUCT(DCF!$B$14:$F$14,(1+$A7)^-DCF!$B$17:$F$17)+DCF!$F$14*(1+E$5)/($A7-E$5)/(1+$A7)^DCF!$B$23-Assumptions!$B$20)/Assumptions!$B$14</f>
        <v>164.885878922769</v>
      </c>
      <c r="F7" s="34" t="n">
        <f aca="false">(SUMPRODUCT(DCF!$B$14:$F$14,(1+$A7)^-DCF!$B$17:$F$17)+DCF!$F$14*(1+F$5)/($A7-F$5)/(1+$A7)^DCF!$B$23-Assumptions!$B$20)/Assumptions!$B$14</f>
        <v>180.831609099942</v>
      </c>
    </row>
    <row r="8" customFormat="false" ht="15" hidden="false" customHeight="false" outlineLevel="0" collapsed="false">
      <c r="A8" s="33" t="n">
        <v>0.1</v>
      </c>
      <c r="B8" s="34" t="n">
        <f aca="false">(SUMPRODUCT(DCF!$B$14:$F$14,(1+$A8)^-DCF!$B$17:$F$17)+DCF!$F$14*(1+B$5)/($A8-B$5)/(1+$A8)^DCF!$B$23-Assumptions!$B$20)/Assumptions!$B$14</f>
        <v>115.989515114577</v>
      </c>
      <c r="C8" s="34" t="n">
        <f aca="false">(SUMPRODUCT(DCF!$B$14:$F$14,(1+$A8)^-DCF!$B$17:$F$17)+DCF!$F$14*(1+C$5)/($A8-C$5)/(1+$A8)^DCF!$B$23-Assumptions!$B$20)/Assumptions!$B$14</f>
        <v>122.071436057197</v>
      </c>
      <c r="D8" s="34" t="n">
        <f aca="false">(SUMPRODUCT(DCF!$B$14:$F$14,(1+$A8)^-DCF!$B$17:$F$17)+DCF!$F$14*(1+D$5)/($A8-D$5)/(1+$A8)^DCF!$B$23-Assumptions!$B$20)/Assumptions!$B$14</f>
        <v>129.167010490255</v>
      </c>
      <c r="E8" s="34" t="n">
        <f aca="false">(SUMPRODUCT(DCF!$B$14:$F$14,(1+$A8)^-DCF!$B$17:$F$17)+DCF!$F$14*(1+E$5)/($A8-E$5)/(1+$A8)^DCF!$B$23-Assumptions!$B$20)/Assumptions!$B$14</f>
        <v>137.552689365687</v>
      </c>
      <c r="F8" s="34" t="n">
        <f aca="false">(SUMPRODUCT(DCF!$B$14:$F$14,(1+$A8)^-DCF!$B$17:$F$17)+DCF!$F$14*(1+F$5)/($A8-F$5)/(1+$A8)^DCF!$B$23-Assumptions!$B$20)/Assumptions!$B$14</f>
        <v>147.615504016205</v>
      </c>
    </row>
    <row r="9" customFormat="false" ht="15" hidden="false" customHeight="false" outlineLevel="0" collapsed="false">
      <c r="A9" s="33" t="n">
        <v>0.11</v>
      </c>
      <c r="B9" s="34" t="n">
        <f aca="false">(SUMPRODUCT(DCF!$B$14:$F$14,(1+$A9)^-DCF!$B$17:$F$17)+DCF!$F$14*(1+B$5)/($A9-B$5)/(1+$A9)^DCF!$B$23-Assumptions!$B$20)/Assumptions!$B$14</f>
        <v>103.262849583533</v>
      </c>
      <c r="C9" s="34" t="n">
        <f aca="false">(SUMPRODUCT(DCF!$B$14:$F$14,(1+$A9)^-DCF!$B$17:$F$17)+DCF!$F$14*(1+C$5)/($A9-C$5)/(1+$A9)^DCF!$B$23-Assumptions!$B$20)/Assumptions!$B$14</f>
        <v>107.711002843326</v>
      </c>
      <c r="D9" s="34" t="n">
        <f aca="false">(SUMPRODUCT(DCF!$B$14:$F$14,(1+$A9)^-DCF!$B$17:$F$17)+DCF!$F$14*(1+D$5)/($A9-D$5)/(1+$A9)^DCF!$B$23-Assumptions!$B$20)/Assumptions!$B$14</f>
        <v>112.794606568803</v>
      </c>
      <c r="E9" s="34" t="n">
        <f aca="false">(SUMPRODUCT(DCF!$B$14:$F$14,(1+$A9)^-DCF!$B$17:$F$17)+DCF!$F$14*(1+E$5)/($A9-E$5)/(1+$A9)^DCF!$B$23-Assumptions!$B$20)/Assumptions!$B$14</f>
        <v>118.660303175122</v>
      </c>
      <c r="F9" s="34" t="n">
        <f aca="false">(SUMPRODUCT(DCF!$B$14:$F$14,(1+$A9)^-DCF!$B$17:$F$17)+DCF!$F$14*(1+F$5)/($A9-F$5)/(1+$A9)^DCF!$B$23-Assumptions!$B$20)/Assumptions!$B$14</f>
        <v>125.503615882495</v>
      </c>
    </row>
    <row r="10" customFormat="false" ht="15" hidden="false" customHeight="false" outlineLevel="0" collapsed="false">
      <c r="A10" s="33" t="n">
        <v>0.12</v>
      </c>
      <c r="B10" s="34" t="n">
        <f aca="false">(SUMPRODUCT(DCF!$B$14:$F$14,(1+$A10)^-DCF!$B$17:$F$17)+DCF!$F$14*(1+B$5)/($A10-B$5)/(1+$A10)^DCF!$B$23-Assumptions!$B$20)/Assumptions!$B$14</f>
        <v>93.3863873215547</v>
      </c>
      <c r="C10" s="34" t="n">
        <f aca="false">(SUMPRODUCT(DCF!$B$14:$F$14,(1+$A10)^-DCF!$B$17:$F$17)+DCF!$F$14*(1+C$5)/($A10-C$5)/(1+$A10)^DCF!$B$23-Assumptions!$B$20)/Assumptions!$B$14</f>
        <v>96.7521956600148</v>
      </c>
      <c r="D10" s="34" t="n">
        <f aca="false">(SUMPRODUCT(DCF!$B$14:$F$14,(1+$A10)^-DCF!$B$17:$F$17)+DCF!$F$14*(1+D$5)/($A10-D$5)/(1+$A10)^DCF!$B$23-Assumptions!$B$20)/Assumptions!$B$14</f>
        <v>100.538730040782</v>
      </c>
      <c r="E10" s="34" t="n">
        <f aca="false">(SUMPRODUCT(DCF!$B$14:$F$14,(1+$A10)^-DCF!$B$17:$F$17)+DCF!$F$14*(1+E$5)/($A10-E$5)/(1+$A10)^DCF!$B$23-Assumptions!$B$20)/Assumptions!$B$14</f>
        <v>104.830135672319</v>
      </c>
      <c r="F10" s="34" t="n">
        <f aca="false">(SUMPRODUCT(DCF!$B$14:$F$14,(1+$A10)^-DCF!$B$17:$F$17)+DCF!$F$14*(1+F$5)/($A10-F$5)/(1+$A10)^DCF!$B$23-Assumptions!$B$20)/Assumptions!$B$14</f>
        <v>109.734599251218</v>
      </c>
    </row>
    <row r="11" customFormat="false" ht="15" hidden="false" customHeight="false" outlineLevel="0" collapsed="false">
      <c r="A11" s="33" t="n">
        <v>0.13</v>
      </c>
      <c r="B11" s="34" t="n">
        <f aca="false">(SUMPRODUCT(DCF!$B$14:$F$14,(1+$A11)^-DCF!$B$17:$F$17)+DCF!$F$14*(1+B$5)/($A11-B$5)/(1+$A11)^DCF!$B$23-Assumptions!$B$20)/Assumptions!$B$14</f>
        <v>85.5034536046259</v>
      </c>
      <c r="C11" s="34" t="n">
        <f aca="false">(SUMPRODUCT(DCF!$B$14:$F$14,(1+$A11)^-DCF!$B$17:$F$17)+DCF!$F$14*(1+C$5)/($A11-C$5)/(1+$A11)^DCF!$B$23-Assumptions!$B$20)/Assumptions!$B$14</f>
        <v>88.1191391271458</v>
      </c>
      <c r="D11" s="34" t="n">
        <f aca="false">(SUMPRODUCT(DCF!$B$14:$F$14,(1+$A11)^-DCF!$B$17:$F$17)+DCF!$F$14*(1+D$5)/($A11-D$5)/(1+$A11)^DCF!$B$23-Assumptions!$B$20)/Assumptions!$B$14</f>
        <v>91.0254563743903</v>
      </c>
      <c r="E11" s="34" t="n">
        <f aca="false">(SUMPRODUCT(DCF!$B$14:$F$14,(1+$A11)^-DCF!$B$17:$F$17)+DCF!$F$14*(1+E$5)/($A11-E$5)/(1+$A11)^DCF!$B$23-Assumptions!$B$20)/Assumptions!$B$14</f>
        <v>94.2736932977811</v>
      </c>
      <c r="F11" s="34" t="n">
        <f aca="false">(SUMPRODUCT(DCF!$B$14:$F$14,(1+$A11)^-DCF!$B$17:$F$17)+DCF!$F$14*(1+F$5)/($A11-F$5)/(1+$A11)^DCF!$B$23-Assumptions!$B$20)/Assumptions!$B$14</f>
        <v>97.9279598365958</v>
      </c>
    </row>
    <row r="12" customFormat="false" ht="15" hidden="false" customHeight="false" outlineLevel="0" collapsed="false">
      <c r="A12" s="33" t="n">
        <v>0.14</v>
      </c>
      <c r="B12" s="34" t="n">
        <f aca="false">(SUMPRODUCT(DCF!$B$14:$F$14,(1+$A12)^-DCF!$B$17:$F$17)+DCF!$F$14*(1+B$5)/($A12-B$5)/(1+$A12)^DCF!$B$23-Assumptions!$B$20)/Assumptions!$B$14</f>
        <v>79.0690128680259</v>
      </c>
      <c r="C12" s="34" t="n">
        <f aca="false">(SUMPRODUCT(DCF!$B$14:$F$14,(1+$A12)^-DCF!$B$17:$F$17)+DCF!$F$14*(1+C$5)/($A12-C$5)/(1+$A12)^DCF!$B$23-Assumptions!$B$20)/Assumptions!$B$14</f>
        <v>81.1459412361916</v>
      </c>
      <c r="D12" s="34" t="n">
        <f aca="false">(SUMPRODUCT(DCF!$B$14:$F$14,(1+$A12)^-DCF!$B$17:$F$17)+DCF!$F$14*(1+D$5)/($A12-D$5)/(1+$A12)^DCF!$B$23-Assumptions!$B$20)/Assumptions!$B$14</f>
        <v>83.4305624411738</v>
      </c>
      <c r="E12" s="34" t="n">
        <f aca="false">(SUMPRODUCT(DCF!$B$14:$F$14,(1+$A12)^-DCF!$B$17:$F$17)+DCF!$F$14*(1+E$5)/($A12-E$5)/(1+$A12)^DCF!$B$23-Assumptions!$B$20)/Assumptions!$B$14</f>
        <v>85.9556700887858</v>
      </c>
      <c r="F12" s="34" t="n">
        <f aca="false">(SUMPRODUCT(DCF!$B$14:$F$14,(1+$A12)^-DCF!$B$17:$F$17)+DCF!$F$14*(1+F$5)/($A12-F$5)/(1+$A12)^DCF!$B$23-Assumptions!$B$20)/Assumptions!$B$14</f>
        <v>88.761345252799</v>
      </c>
    </row>
    <row r="15" customFormat="false" ht="15" hidden="false" customHeight="false" outlineLevel="0" collapsed="false">
      <c r="A15" s="13" t="s">
        <v>143</v>
      </c>
    </row>
    <row r="16" customFormat="false" ht="15" hidden="false" customHeight="false" outlineLevel="0" collapsed="false">
      <c r="A16" s="17" t="s">
        <v>71</v>
      </c>
      <c r="B16" s="35" t="n">
        <v>7</v>
      </c>
      <c r="C16" s="35" t="n">
        <v>8</v>
      </c>
      <c r="D16" s="35" t="n">
        <v>9</v>
      </c>
      <c r="E16" s="35" t="n">
        <v>10</v>
      </c>
      <c r="F16" s="35" t="n">
        <v>11</v>
      </c>
    </row>
    <row r="17" customFormat="false" ht="15" hidden="false" customHeight="false" outlineLevel="0" collapsed="false">
      <c r="A17" s="33" t="n">
        <v>0.08</v>
      </c>
      <c r="B17" s="34" t="n">
        <f aca="false">(SUMPRODUCT(DCF!$B$14:$F$14,(1+$A17)^-DCF!$B$17:$F$17)+DCF!$F$6*B$16/(1+$A17)^DCF!$B$23-Assumptions!$B$20)/Assumptions!$B$14</f>
        <v>132.501234434016</v>
      </c>
      <c r="C17" s="34" t="n">
        <f aca="false">(SUMPRODUCT(DCF!$B$14:$F$14,(1+$A17)^-DCF!$B$17:$F$17)+DCF!$F$6*C$16/(1+$A17)^DCF!$B$23-Assumptions!$B$20)/Assumptions!$B$14</f>
        <v>145.252507548569</v>
      </c>
      <c r="D17" s="34" t="n">
        <f aca="false">(SUMPRODUCT(DCF!$B$14:$F$14,(1+$A17)^-DCF!$B$17:$F$17)+DCF!$F$6*D$16/(1+$A17)^DCF!$B$23-Assumptions!$B$20)/Assumptions!$B$14</f>
        <v>158.003780663121</v>
      </c>
      <c r="E17" s="34" t="n">
        <f aca="false">(SUMPRODUCT(DCF!$B$14:$F$14,(1+$A17)^-DCF!$B$17:$F$17)+DCF!$F$6*E$16/(1+$A17)^DCF!$B$23-Assumptions!$B$20)/Assumptions!$B$14</f>
        <v>170.755053777673</v>
      </c>
      <c r="F17" s="34" t="n">
        <f aca="false">(SUMPRODUCT(DCF!$B$14:$F$14,(1+$A17)^-DCF!$B$17:$F$17)+DCF!$F$6*F$16/(1+$A17)^DCF!$B$23-Assumptions!$B$20)/Assumptions!$B$14</f>
        <v>183.506326892225</v>
      </c>
    </row>
    <row r="18" customFormat="false" ht="15" hidden="false" customHeight="false" outlineLevel="0" collapsed="false">
      <c r="A18" s="33" t="n">
        <v>0.09</v>
      </c>
      <c r="B18" s="34" t="n">
        <f aca="false">(SUMPRODUCT(DCF!$B$14:$F$14,(1+$A18)^-DCF!$B$17:$F$17)+DCF!$F$6*B$16/(1+$A18)^DCF!$B$23-Assumptions!$B$20)/Assumptions!$B$14</f>
        <v>127.825424856871</v>
      </c>
      <c r="C18" s="34" t="n">
        <f aca="false">(SUMPRODUCT(DCF!$B$14:$F$14,(1+$A18)^-DCF!$B$17:$F$17)+DCF!$F$6*C$16/(1+$A18)^DCF!$B$23-Assumptions!$B$20)/Assumptions!$B$14</f>
        <v>140.002411665434</v>
      </c>
      <c r="D18" s="34" t="n">
        <f aca="false">(SUMPRODUCT(DCF!$B$14:$F$14,(1+$A18)^-DCF!$B$17:$F$17)+DCF!$F$6*D$16/(1+$A18)^DCF!$B$23-Assumptions!$B$20)/Assumptions!$B$14</f>
        <v>152.179398473997</v>
      </c>
      <c r="E18" s="34" t="n">
        <f aca="false">(SUMPRODUCT(DCF!$B$14:$F$14,(1+$A18)^-DCF!$B$17:$F$17)+DCF!$F$6*E$16/(1+$A18)^DCF!$B$23-Assumptions!$B$20)/Assumptions!$B$14</f>
        <v>164.35638528256</v>
      </c>
      <c r="F18" s="34" t="n">
        <f aca="false">(SUMPRODUCT(DCF!$B$14:$F$14,(1+$A18)^-DCF!$B$17:$F$17)+DCF!$F$6*F$16/(1+$A18)^DCF!$B$23-Assumptions!$B$20)/Assumptions!$B$14</f>
        <v>176.533372091123</v>
      </c>
    </row>
    <row r="19" customFormat="false" ht="15" hidden="false" customHeight="false" outlineLevel="0" collapsed="false">
      <c r="A19" s="33" t="n">
        <v>0.1</v>
      </c>
      <c r="B19" s="34" t="n">
        <f aca="false">(SUMPRODUCT(DCF!$B$14:$F$14,(1+$A19)^-DCF!$B$17:$F$17)+DCF!$F$6*B$16/(1+$A19)^DCF!$B$23-Assumptions!$B$20)/Assumptions!$B$14</f>
        <v>123.390169914358</v>
      </c>
      <c r="C19" s="34" t="n">
        <f aca="false">(SUMPRODUCT(DCF!$B$14:$F$14,(1+$A19)^-DCF!$B$17:$F$17)+DCF!$F$6*C$16/(1+$A19)^DCF!$B$23-Assumptions!$B$20)/Assumptions!$B$14</f>
        <v>135.023629875585</v>
      </c>
      <c r="D19" s="34" t="n">
        <f aca="false">(SUMPRODUCT(DCF!$B$14:$F$14,(1+$A19)^-DCF!$B$17:$F$17)+DCF!$F$6*D$16/(1+$A19)^DCF!$B$23-Assumptions!$B$20)/Assumptions!$B$14</f>
        <v>146.657089836813</v>
      </c>
      <c r="E19" s="34" t="n">
        <f aca="false">(SUMPRODUCT(DCF!$B$14:$F$14,(1+$A19)^-DCF!$B$17:$F$17)+DCF!$F$6*E$16/(1+$A19)^DCF!$B$23-Assumptions!$B$20)/Assumptions!$B$14</f>
        <v>158.290549798041</v>
      </c>
      <c r="F19" s="34" t="n">
        <f aca="false">(SUMPRODUCT(DCF!$B$14:$F$14,(1+$A19)^-DCF!$B$17:$F$17)+DCF!$F$6*F$16/(1+$A19)^DCF!$B$23-Assumptions!$B$20)/Assumptions!$B$14</f>
        <v>169.924009759268</v>
      </c>
    </row>
    <row r="20" customFormat="false" ht="15" hidden="false" customHeight="false" outlineLevel="0" collapsed="false">
      <c r="A20" s="33" t="n">
        <v>0.11</v>
      </c>
      <c r="B20" s="34" t="n">
        <f aca="false">(SUMPRODUCT(DCF!$B$14:$F$14,(1+$A20)^-DCF!$B$17:$F$17)+DCF!$F$6*B$16/(1+$A20)^DCF!$B$23-Assumptions!$B$20)/Assumptions!$B$14</f>
        <v>119.180877731168</v>
      </c>
      <c r="C20" s="34" t="n">
        <f aca="false">(SUMPRODUCT(DCF!$B$14:$F$14,(1+$A20)^-DCF!$B$17:$F$17)+DCF!$F$6*C$16/(1+$A20)^DCF!$B$23-Assumptions!$B$20)/Assumptions!$B$14</f>
        <v>130.299665261112</v>
      </c>
      <c r="D20" s="34" t="n">
        <f aca="false">(SUMPRODUCT(DCF!$B$14:$F$14,(1+$A20)^-DCF!$B$17:$F$17)+DCF!$F$6*D$16/(1+$A20)^DCF!$B$23-Assumptions!$B$20)/Assumptions!$B$14</f>
        <v>141.418452791056</v>
      </c>
      <c r="E20" s="34" t="n">
        <f aca="false">(SUMPRODUCT(DCF!$B$14:$F$14,(1+$A20)^-DCF!$B$17:$F$17)+DCF!$F$6*E$16/(1+$A20)^DCF!$B$23-Assumptions!$B$20)/Assumptions!$B$14</f>
        <v>152.537240321001</v>
      </c>
      <c r="F20" s="34" t="n">
        <f aca="false">(SUMPRODUCT(DCF!$B$14:$F$14,(1+$A20)^-DCF!$B$17:$F$17)+DCF!$F$6*F$16/(1+$A20)^DCF!$B$23-Assumptions!$B$20)/Assumptions!$B$14</f>
        <v>163.656027850945</v>
      </c>
    </row>
    <row r="21" customFormat="false" ht="15" hidden="false" customHeight="false" outlineLevel="0" collapsed="false">
      <c r="A21" s="33" t="n">
        <v>0.12</v>
      </c>
      <c r="B21" s="34" t="n">
        <f aca="false">(SUMPRODUCT(DCF!$B$14:$F$14,(1+$A21)^-DCF!$B$17:$F$17)+DCF!$F$6*B$16/(1+$A21)^DCF!$B$23-Assumptions!$B$20)/Assumptions!$B$14</f>
        <v>115.183967064282</v>
      </c>
      <c r="C21" s="34" t="n">
        <f aca="false">(SUMPRODUCT(DCF!$B$14:$F$14,(1+$A21)^-DCF!$B$17:$F$17)+DCF!$F$6*C$16/(1+$A21)^DCF!$B$23-Assumptions!$B$20)/Assumptions!$B$14</f>
        <v>125.815165191615</v>
      </c>
      <c r="D21" s="34" t="n">
        <f aca="false">(SUMPRODUCT(DCF!$B$14:$F$14,(1+$A21)^-DCF!$B$17:$F$17)+DCF!$F$6*D$16/(1+$A21)^DCF!$B$23-Assumptions!$B$20)/Assumptions!$B$14</f>
        <v>136.446363318948</v>
      </c>
      <c r="E21" s="34" t="n">
        <f aca="false">(SUMPRODUCT(DCF!$B$14:$F$14,(1+$A21)^-DCF!$B$17:$F$17)+DCF!$F$6*E$16/(1+$A21)^DCF!$B$23-Assumptions!$B$20)/Assumptions!$B$14</f>
        <v>147.077561446281</v>
      </c>
      <c r="F21" s="34" t="n">
        <f aca="false">(SUMPRODUCT(DCF!$B$14:$F$14,(1+$A21)^-DCF!$B$17:$F$17)+DCF!$F$6*F$16/(1+$A21)^DCF!$B$23-Assumptions!$B$20)/Assumptions!$B$14</f>
        <v>157.708759573614</v>
      </c>
    </row>
    <row r="22" customFormat="false" ht="15" hidden="false" customHeight="false" outlineLevel="0" collapsed="false">
      <c r="A22" s="33" t="n">
        <v>0.13</v>
      </c>
      <c r="B22" s="34" t="n">
        <f aca="false">(SUMPRODUCT(DCF!$B$14:$F$14,(1+$A22)^-DCF!$B$17:$F$17)+DCF!$F$6*B$16/(1+$A22)^DCF!$B$23-Assumptions!$B$20)/Assumptions!$B$14</f>
        <v>111.386788928132</v>
      </c>
      <c r="C22" s="34" t="n">
        <f aca="false">(SUMPRODUCT(DCF!$B$14:$F$14,(1+$A22)^-DCF!$B$17:$F$17)+DCF!$F$6*C$16/(1+$A22)^DCF!$B$23-Assumptions!$B$20)/Assumptions!$B$14</f>
        <v>121.555832492137</v>
      </c>
      <c r="D22" s="34" t="n">
        <f aca="false">(SUMPRODUCT(DCF!$B$14:$F$14,(1+$A22)^-DCF!$B$17:$F$17)+DCF!$F$6*D$16/(1+$A22)^DCF!$B$23-Assumptions!$B$20)/Assumptions!$B$14</f>
        <v>131.724876056142</v>
      </c>
      <c r="E22" s="34" t="n">
        <f aca="false">(SUMPRODUCT(DCF!$B$14:$F$14,(1+$A22)^-DCF!$B$17:$F$17)+DCF!$F$6*E$16/(1+$A22)^DCF!$B$23-Assumptions!$B$20)/Assumptions!$B$14</f>
        <v>141.893919620146</v>
      </c>
      <c r="F22" s="34" t="n">
        <f aca="false">(SUMPRODUCT(DCF!$B$14:$F$14,(1+$A22)^-DCF!$B$17:$F$17)+DCF!$F$6*F$16/(1+$A22)^DCF!$B$23-Assumptions!$B$20)/Assumptions!$B$14</f>
        <v>152.062963184151</v>
      </c>
    </row>
    <row r="23" customFormat="false" ht="15" hidden="false" customHeight="false" outlineLevel="0" collapsed="false">
      <c r="A23" s="33" t="n">
        <v>0.14</v>
      </c>
      <c r="B23" s="34" t="n">
        <f aca="false">(SUMPRODUCT(DCF!$B$14:$F$14,(1+$A23)^-DCF!$B$17:$F$17)+DCF!$F$6*B$16/(1+$A23)^DCF!$B$23-Assumptions!$B$20)/Assumptions!$B$14</f>
        <v>107.777554930486</v>
      </c>
      <c r="C23" s="34" t="n">
        <f aca="false">(SUMPRODUCT(DCF!$B$14:$F$14,(1+$A23)^-DCF!$B$17:$F$17)+DCF!$F$6*C$16/(1+$A23)^DCF!$B$23-Assumptions!$B$20)/Assumptions!$B$14</f>
        <v>117.508344223046</v>
      </c>
      <c r="D23" s="34" t="n">
        <f aca="false">(SUMPRODUCT(DCF!$B$14:$F$14,(1+$A23)^-DCF!$B$17:$F$17)+DCF!$F$6*D$16/(1+$A23)^DCF!$B$23-Assumptions!$B$20)/Assumptions!$B$14</f>
        <v>127.239133515606</v>
      </c>
      <c r="E23" s="34" t="n">
        <f aca="false">(SUMPRODUCT(DCF!$B$14:$F$14,(1+$A23)^-DCF!$B$17:$F$17)+DCF!$F$6*E$16/(1+$A23)^DCF!$B$23-Assumptions!$B$20)/Assumptions!$B$14</f>
        <v>136.969922808166</v>
      </c>
      <c r="F23" s="34" t="n">
        <f aca="false">(SUMPRODUCT(DCF!$B$14:$F$14,(1+$A23)^-DCF!$B$17:$F$17)+DCF!$F$6*F$16/(1+$A23)^DCF!$B$23-Assumptions!$B$20)/Assumptions!$B$14</f>
        <v>146.700712100726</v>
      </c>
    </row>
    <row r="26" customFormat="false" ht="15" hidden="false" customHeight="false" outlineLevel="0" collapsed="false">
      <c r="A26" s="7" t="s">
        <v>144</v>
      </c>
    </row>
    <row r="27" customFormat="false" ht="15" hidden="false" customHeight="false" outlineLevel="0" collapsed="false">
      <c r="A27" s="7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17" min="4" style="0" width="11"/>
  </cols>
  <sheetData>
    <row r="1" customFormat="false" ht="16.1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7" t="s">
        <v>147</v>
      </c>
    </row>
    <row r="4" customFormat="false" ht="15" hidden="false" customHeight="false" outlineLevel="0" collapsed="false">
      <c r="A4" s="17" t="s">
        <v>148</v>
      </c>
      <c r="B4" s="17" t="s">
        <v>149</v>
      </c>
      <c r="C4" s="17" t="s">
        <v>150</v>
      </c>
      <c r="D4" s="17" t="s">
        <v>151</v>
      </c>
      <c r="E4" s="17" t="s">
        <v>152</v>
      </c>
      <c r="F4" s="17" t="s">
        <v>153</v>
      </c>
      <c r="G4" s="17" t="s">
        <v>154</v>
      </c>
      <c r="H4" s="17" t="s">
        <v>155</v>
      </c>
      <c r="I4" s="17" t="s">
        <v>156</v>
      </c>
      <c r="J4" s="17" t="s">
        <v>157</v>
      </c>
      <c r="K4" s="17" t="s">
        <v>158</v>
      </c>
      <c r="L4" s="17" t="s">
        <v>159</v>
      </c>
      <c r="M4" s="17" t="s">
        <v>160</v>
      </c>
      <c r="N4" s="17" t="s">
        <v>66</v>
      </c>
      <c r="O4" s="17" t="s">
        <v>119</v>
      </c>
      <c r="P4" s="17" t="s">
        <v>161</v>
      </c>
      <c r="Q4" s="17" t="s">
        <v>162</v>
      </c>
      <c r="R4" s="17" t="s">
        <v>163</v>
      </c>
      <c r="S4" s="17" t="s">
        <v>164</v>
      </c>
      <c r="T4" s="17" t="s">
        <v>165</v>
      </c>
    </row>
    <row r="5" customFormat="false" ht="15" hidden="false" customHeight="false" outlineLevel="0" collapsed="false">
      <c r="A5" s="36" t="s">
        <v>166</v>
      </c>
      <c r="B5" s="36" t="s">
        <v>167</v>
      </c>
      <c r="C5" s="36" t="s">
        <v>168</v>
      </c>
      <c r="D5" s="9" t="n">
        <v>13787</v>
      </c>
      <c r="E5" s="9" t="n">
        <v>3791</v>
      </c>
      <c r="F5" s="9" t="n">
        <v>2327</v>
      </c>
      <c r="G5" s="9" t="n">
        <v>1372</v>
      </c>
      <c r="H5" s="11" t="n">
        <v>88.48</v>
      </c>
      <c r="I5" s="12" t="n">
        <v>272.6698</v>
      </c>
      <c r="J5" s="9" t="n">
        <v>5997</v>
      </c>
      <c r="K5" s="9" t="n">
        <v>4598</v>
      </c>
      <c r="L5" s="6" t="n">
        <v>0.066</v>
      </c>
      <c r="M5" s="15" t="n">
        <f aca="false">H5*I5</f>
        <v>24125.823904</v>
      </c>
      <c r="N5" s="15" t="n">
        <f aca="false">J5-K5</f>
        <v>1399</v>
      </c>
      <c r="O5" s="15" t="n">
        <f aca="false">M5+N5</f>
        <v>25524.823904</v>
      </c>
      <c r="P5" s="24" t="n">
        <f aca="false">IF(D5&gt;0,O5/D5,"nm")</f>
        <v>1.85136896380648</v>
      </c>
      <c r="Q5" s="24" t="n">
        <f aca="false">IF(E5&gt;0,O5/E5,"nm")</f>
        <v>6.73300551411237</v>
      </c>
      <c r="R5" s="24" t="n">
        <f aca="false">IF(F5&gt;0,O5/F5,"nm")</f>
        <v>10.9689831989686</v>
      </c>
      <c r="S5" s="24" t="n">
        <f aca="false">IF(G5&gt;0,M5/G5,"nm")</f>
        <v>17.584419755102</v>
      </c>
      <c r="T5" s="14" t="n">
        <f aca="false">E5/D5</f>
        <v>0.274969173859433</v>
      </c>
    </row>
    <row r="6" customFormat="false" ht="15" hidden="false" customHeight="false" outlineLevel="0" collapsed="false">
      <c r="A6" s="36" t="s">
        <v>169</v>
      </c>
      <c r="B6" s="36" t="s">
        <v>170</v>
      </c>
      <c r="C6" s="36" t="s">
        <v>171</v>
      </c>
      <c r="D6" s="9" t="n">
        <v>14186</v>
      </c>
      <c r="E6" s="9" t="n">
        <v>1915</v>
      </c>
      <c r="F6" s="9" t="n">
        <v>1388</v>
      </c>
      <c r="G6" s="9" t="n">
        <v>619</v>
      </c>
      <c r="H6" s="11" t="n">
        <v>184.6</v>
      </c>
      <c r="I6" s="12" t="n">
        <v>78.2831</v>
      </c>
      <c r="J6" s="9" t="n">
        <v>6753</v>
      </c>
      <c r="K6" s="9" t="n">
        <v>5930</v>
      </c>
      <c r="L6" s="6" t="n">
        <v>0.082</v>
      </c>
      <c r="M6" s="15" t="n">
        <f aca="false">H6*I6</f>
        <v>14451.06026</v>
      </c>
      <c r="N6" s="15" t="n">
        <f aca="false">J6-K6</f>
        <v>823</v>
      </c>
      <c r="O6" s="15" t="n">
        <f aca="false">M6+N6</f>
        <v>15274.06026</v>
      </c>
      <c r="P6" s="24" t="n">
        <f aca="false">IF(D6&gt;0,O6/D6,"nm")</f>
        <v>1.07669958127732</v>
      </c>
      <c r="Q6" s="24" t="n">
        <f aca="false">IF(E6&gt;0,O6/E6,"nm")</f>
        <v>7.97601057963446</v>
      </c>
      <c r="R6" s="24" t="n">
        <f aca="false">IF(F6&gt;0,O6/F6,"nm")</f>
        <v>11.0043661815562</v>
      </c>
      <c r="S6" s="24" t="n">
        <f aca="false">IF(G6&gt;0,M6/G6,"nm")</f>
        <v>23.3458162520194</v>
      </c>
      <c r="T6" s="14" t="n">
        <f aca="false">E6/D6</f>
        <v>0.134992245876216</v>
      </c>
    </row>
    <row r="7" customFormat="false" ht="15" hidden="false" customHeight="false" outlineLevel="0" collapsed="false">
      <c r="A7" s="37" t="s">
        <v>172</v>
      </c>
      <c r="B7" s="37" t="s">
        <v>173</v>
      </c>
      <c r="C7" s="38" t="s">
        <v>171</v>
      </c>
      <c r="D7" s="39" t="n">
        <v>9207</v>
      </c>
      <c r="E7" s="39" t="n">
        <v>1243</v>
      </c>
      <c r="F7" s="39" t="n">
        <v>931</v>
      </c>
      <c r="G7" s="39" t="n">
        <v>564</v>
      </c>
      <c r="H7" s="40" t="n">
        <v>87.17</v>
      </c>
      <c r="I7" s="41" t="n">
        <v>149.6865</v>
      </c>
      <c r="J7" s="39" t="n">
        <v>2412</v>
      </c>
      <c r="K7" s="39" t="n">
        <v>3661</v>
      </c>
      <c r="L7" s="42" t="n">
        <v>0.062</v>
      </c>
      <c r="M7" s="43" t="n">
        <f aca="false">H7*I7</f>
        <v>13048.172205</v>
      </c>
      <c r="N7" s="43" t="n">
        <f aca="false">J7-K7</f>
        <v>-1249</v>
      </c>
      <c r="O7" s="43" t="n">
        <f aca="false">M7+N7</f>
        <v>11799.172205</v>
      </c>
      <c r="P7" s="44" t="n">
        <f aca="false">IF(D7&gt;0,O7/D7,"nm")</f>
        <v>1.28154363038992</v>
      </c>
      <c r="Q7" s="44" t="n">
        <f aca="false">IF(E7&gt;0,O7/E7,"nm")</f>
        <v>9.49249574014481</v>
      </c>
      <c r="R7" s="44" t="n">
        <f aca="false">IF(F7&gt;0,O7/F7,"nm")</f>
        <v>12.6736543555317</v>
      </c>
      <c r="S7" s="44" t="n">
        <f aca="false">IF(G7&gt;0,M7/G7,"nm")</f>
        <v>23.1350571010638</v>
      </c>
      <c r="T7" s="25" t="n">
        <f aca="false">E7/D7</f>
        <v>0.135005973715651</v>
      </c>
    </row>
    <row r="8" customFormat="false" ht="15" hidden="false" customHeight="false" outlineLevel="0" collapsed="false">
      <c r="A8" s="36" t="s">
        <v>174</v>
      </c>
      <c r="B8" s="36" t="s">
        <v>175</v>
      </c>
      <c r="C8" s="36" t="s">
        <v>176</v>
      </c>
      <c r="D8" s="9" t="n">
        <v>14632</v>
      </c>
      <c r="E8" s="9" t="n">
        <v>1975</v>
      </c>
      <c r="F8" s="9" t="n">
        <v>1357</v>
      </c>
      <c r="G8" s="9" t="n">
        <v>579</v>
      </c>
      <c r="H8" s="11" t="n">
        <v>136.01</v>
      </c>
      <c r="I8" s="12" t="n">
        <v>138.0447</v>
      </c>
      <c r="J8" s="9" t="n">
        <v>6488</v>
      </c>
      <c r="K8" s="9" t="n">
        <v>3078</v>
      </c>
      <c r="L8" s="6" t="n">
        <v>0.061</v>
      </c>
      <c r="M8" s="15" t="n">
        <f aca="false">H8*I8</f>
        <v>18775.459647</v>
      </c>
      <c r="N8" s="15" t="n">
        <f aca="false">J8-K8</f>
        <v>3410</v>
      </c>
      <c r="O8" s="15" t="n">
        <f aca="false">M8+N8</f>
        <v>22185.459647</v>
      </c>
      <c r="P8" s="24" t="n">
        <f aca="false">IF(D8&gt;0,O8/D8,"nm")</f>
        <v>1.51622878943412</v>
      </c>
      <c r="Q8" s="24" t="n">
        <f aca="false">IF(E8&gt;0,O8/E8,"nm")</f>
        <v>11.2331441250633</v>
      </c>
      <c r="R8" s="24" t="n">
        <f aca="false">IF(F8&gt;0,O8/F8,"nm")</f>
        <v>16.3489017295505</v>
      </c>
      <c r="S8" s="24" t="n">
        <f aca="false">IF(G8&gt;0,M8/G8,"nm")</f>
        <v>32.4273914455959</v>
      </c>
      <c r="T8" s="14" t="n">
        <f aca="false">E8/D8</f>
        <v>0.134978130125752</v>
      </c>
    </row>
    <row r="9" customFormat="false" ht="15" hidden="false" customHeight="false" outlineLevel="0" collapsed="false">
      <c r="A9" s="36" t="s">
        <v>177</v>
      </c>
      <c r="B9" s="36" t="s">
        <v>178</v>
      </c>
      <c r="C9" s="36" t="s">
        <v>176</v>
      </c>
      <c r="D9" s="9" t="n">
        <v>4666</v>
      </c>
      <c r="E9" s="9" t="n">
        <v>630</v>
      </c>
      <c r="F9" s="9" t="n">
        <v>430</v>
      </c>
      <c r="G9" s="9" t="n">
        <v>140</v>
      </c>
      <c r="H9" s="11" t="n">
        <v>32.96</v>
      </c>
      <c r="I9" s="12" t="n">
        <v>133.2541</v>
      </c>
      <c r="J9" s="9" t="n">
        <v>2514</v>
      </c>
      <c r="K9" s="9" t="n">
        <v>853</v>
      </c>
      <c r="L9" s="6" t="n">
        <v>0.065</v>
      </c>
      <c r="M9" s="15" t="n">
        <f aca="false">H9*I9</f>
        <v>4392.055136</v>
      </c>
      <c r="N9" s="15" t="n">
        <f aca="false">J9-K9</f>
        <v>1661</v>
      </c>
      <c r="O9" s="15" t="n">
        <f aca="false">M9+N9</f>
        <v>6053.055136</v>
      </c>
      <c r="P9" s="24" t="n">
        <f aca="false">IF(D9&gt;0,O9/D9,"nm")</f>
        <v>1.29726856750964</v>
      </c>
      <c r="Q9" s="24" t="n">
        <f aca="false">IF(E9&gt;0,O9/E9,"nm")</f>
        <v>9.60802402539683</v>
      </c>
      <c r="R9" s="24" t="n">
        <f aca="false">IF(F9&gt;0,O9/F9,"nm")</f>
        <v>14.0768724093023</v>
      </c>
      <c r="S9" s="24" t="n">
        <f aca="false">IF(G9&gt;0,M9/G9,"nm")</f>
        <v>31.3718224</v>
      </c>
      <c r="T9" s="14" t="n">
        <f aca="false">E9/D9</f>
        <v>0.135019288469781</v>
      </c>
    </row>
    <row r="10" customFormat="false" ht="15" hidden="false" customHeight="false" outlineLevel="0" collapsed="false">
      <c r="A10" s="36" t="s">
        <v>179</v>
      </c>
      <c r="B10" s="36" t="s">
        <v>180</v>
      </c>
      <c r="C10" s="36" t="s">
        <v>181</v>
      </c>
      <c r="D10" s="9" t="n">
        <v>6231</v>
      </c>
      <c r="E10" s="9" t="n">
        <v>1090</v>
      </c>
      <c r="F10" s="9" t="n">
        <v>512</v>
      </c>
      <c r="G10" s="9" t="n">
        <v>223</v>
      </c>
      <c r="H10" s="11" t="n">
        <v>10.71</v>
      </c>
      <c r="I10" s="12" t="n">
        <v>222.8097</v>
      </c>
      <c r="J10" s="9" t="n">
        <v>3221</v>
      </c>
      <c r="K10" s="9" t="n">
        <v>2851</v>
      </c>
      <c r="L10" s="6" t="n">
        <v>0.027</v>
      </c>
      <c r="M10" s="15" t="n">
        <f aca="false">H10*I10</f>
        <v>2386.291887</v>
      </c>
      <c r="N10" s="15" t="n">
        <f aca="false">J10-K10</f>
        <v>370</v>
      </c>
      <c r="O10" s="15" t="n">
        <f aca="false">M10+N10</f>
        <v>2756.291887</v>
      </c>
      <c r="P10" s="24" t="n">
        <f aca="false">IF(D10&gt;0,O10/D10,"nm")</f>
        <v>0.442351450329</v>
      </c>
      <c r="Q10" s="24" t="n">
        <f aca="false">IF(E10&gt;0,O10/E10,"nm")</f>
        <v>2.52870815321101</v>
      </c>
      <c r="R10" s="24" t="n">
        <f aca="false">IF(F10&gt;0,O10/F10,"nm")</f>
        <v>5.38338259179688</v>
      </c>
      <c r="S10" s="24" t="n">
        <f aca="false">IF(G10&gt;0,M10/G10,"nm")</f>
        <v>10.7008604798206</v>
      </c>
      <c r="T10" s="14" t="n">
        <f aca="false">E10/D10</f>
        <v>0.174931792649655</v>
      </c>
    </row>
    <row r="11" customFormat="false" ht="15" hidden="false" customHeight="false" outlineLevel="0" collapsed="false">
      <c r="A11" s="36" t="s">
        <v>182</v>
      </c>
      <c r="B11" s="36" t="s">
        <v>183</v>
      </c>
      <c r="C11" s="36" t="s">
        <v>184</v>
      </c>
      <c r="D11" s="9" t="n">
        <v>10773</v>
      </c>
      <c r="E11" s="9" t="n">
        <v>3178</v>
      </c>
      <c r="F11" s="9" t="n">
        <v>2799</v>
      </c>
      <c r="G11" s="9" t="n">
        <v>1896</v>
      </c>
      <c r="H11" s="11" t="n">
        <v>129.64</v>
      </c>
      <c r="I11" s="12" t="n">
        <v>182.4815</v>
      </c>
      <c r="J11" s="9" t="n">
        <v>4510</v>
      </c>
      <c r="K11" s="9" t="n">
        <v>7153</v>
      </c>
      <c r="L11" s="6" t="n">
        <v>0.13</v>
      </c>
      <c r="M11" s="15" t="n">
        <f aca="false">H11*I11</f>
        <v>23656.90166</v>
      </c>
      <c r="N11" s="15" t="n">
        <f aca="false">J11-K11</f>
        <v>-2643</v>
      </c>
      <c r="O11" s="15" t="n">
        <f aca="false">M11+N11</f>
        <v>21013.90166</v>
      </c>
      <c r="P11" s="24" t="n">
        <f aca="false">IF(D11&gt;0,O11/D11,"nm")</f>
        <v>1.95060815557412</v>
      </c>
      <c r="Q11" s="24" t="n">
        <f aca="false">IF(E11&gt;0,O11/E11,"nm")</f>
        <v>6.61230385777218</v>
      </c>
      <c r="R11" s="24" t="n">
        <f aca="false">IF(F11&gt;0,O11/F11,"nm")</f>
        <v>7.50764618077885</v>
      </c>
      <c r="S11" s="24" t="n">
        <f aca="false">IF(G11&gt;0,M11/G11,"nm")</f>
        <v>12.4772688080169</v>
      </c>
      <c r="T11" s="14" t="n">
        <f aca="false">E11/D11</f>
        <v>0.294996751137102</v>
      </c>
    </row>
    <row r="12" customFormat="false" ht="15" hidden="false" customHeight="false" outlineLevel="0" collapsed="false">
      <c r="A12" s="36" t="s">
        <v>185</v>
      </c>
      <c r="B12" s="36" t="s">
        <v>186</v>
      </c>
      <c r="C12" s="36" t="s">
        <v>184</v>
      </c>
      <c r="D12" s="9" t="n">
        <v>17547</v>
      </c>
      <c r="E12" s="9" t="n">
        <v>5177</v>
      </c>
      <c r="F12" s="9" t="n">
        <v>4488</v>
      </c>
      <c r="G12" s="9" t="n">
        <v>3377</v>
      </c>
      <c r="H12" s="11" t="n">
        <v>1016.63</v>
      </c>
      <c r="I12" s="12" t="n">
        <v>51.7056</v>
      </c>
      <c r="J12" s="9" t="n">
        <v>3685</v>
      </c>
      <c r="K12" s="9" t="n">
        <v>16180</v>
      </c>
      <c r="L12" s="6" t="n">
        <v>0.085</v>
      </c>
      <c r="M12" s="15" t="n">
        <f aca="false">H12*I12</f>
        <v>52565.464128</v>
      </c>
      <c r="N12" s="15" t="n">
        <f aca="false">J12-K12</f>
        <v>-12495</v>
      </c>
      <c r="O12" s="15" t="n">
        <f aca="false">M12+N12</f>
        <v>40070.464128</v>
      </c>
      <c r="P12" s="24" t="n">
        <f aca="false">IF(D12&gt;0,O12/D12,"nm")</f>
        <v>2.28360768951958</v>
      </c>
      <c r="Q12" s="24" t="n">
        <f aca="false">IF(E12&gt;0,O12/E12,"nm")</f>
        <v>7.74009351516322</v>
      </c>
      <c r="R12" s="24" t="n">
        <f aca="false">IF(F12&gt;0,O12/F12,"nm")</f>
        <v>8.92835653475936</v>
      </c>
      <c r="S12" s="24" t="n">
        <f aca="false">IF(G12&gt;0,M12/G12,"nm")</f>
        <v>15.5657281989932</v>
      </c>
      <c r="T12" s="14" t="n">
        <f aca="false">E12/D12</f>
        <v>0.295036188522255</v>
      </c>
    </row>
    <row r="13" customFormat="false" ht="15" hidden="false" customHeight="false" outlineLevel="0" collapsed="false">
      <c r="A13" s="36" t="s">
        <v>187</v>
      </c>
      <c r="B13" s="36" t="s">
        <v>188</v>
      </c>
      <c r="C13" s="36" t="s">
        <v>189</v>
      </c>
      <c r="D13" s="9" t="n">
        <v>9870</v>
      </c>
      <c r="E13" s="9" t="n">
        <v>1431</v>
      </c>
      <c r="F13" s="9" t="n">
        <v>1059</v>
      </c>
      <c r="G13" s="9" t="n">
        <v>565</v>
      </c>
      <c r="H13" s="11" t="n">
        <v>89.67</v>
      </c>
      <c r="I13" s="12" t="n">
        <v>165.837</v>
      </c>
      <c r="J13" s="9" t="n">
        <v>3861</v>
      </c>
      <c r="K13" s="9" t="n">
        <v>3092</v>
      </c>
      <c r="L13" s="6" t="n">
        <v>0.131</v>
      </c>
      <c r="M13" s="15" t="n">
        <f aca="false">H13*I13</f>
        <v>14870.60379</v>
      </c>
      <c r="N13" s="15" t="n">
        <f aca="false">J13-K13</f>
        <v>769</v>
      </c>
      <c r="O13" s="15" t="n">
        <f aca="false">M13+N13</f>
        <v>15639.60379</v>
      </c>
      <c r="P13" s="24" t="n">
        <f aca="false">IF(D13&gt;0,O13/D13,"nm")</f>
        <v>1.58455965450861</v>
      </c>
      <c r="Q13" s="24" t="n">
        <f aca="false">IF(E13&gt;0,O13/E13,"nm")</f>
        <v>10.9291431097135</v>
      </c>
      <c r="R13" s="24" t="n">
        <f aca="false">IF(F13&gt;0,O13/F13,"nm")</f>
        <v>14.7682755335222</v>
      </c>
      <c r="S13" s="24" t="n">
        <f aca="false">IF(G13&gt;0,M13/G13,"nm")</f>
        <v>26.3196527256637</v>
      </c>
      <c r="T13" s="14" t="n">
        <f aca="false">E13/D13</f>
        <v>0.144984802431611</v>
      </c>
    </row>
    <row r="14" customFormat="false" ht="15" hidden="false" customHeight="false" outlineLevel="0" collapsed="false">
      <c r="A14" s="36" t="s">
        <v>190</v>
      </c>
      <c r="B14" s="36" t="s">
        <v>191</v>
      </c>
      <c r="C14" s="36" t="s">
        <v>189</v>
      </c>
      <c r="D14" s="9" t="n">
        <v>10421</v>
      </c>
      <c r="E14" s="9" t="n">
        <v>1511</v>
      </c>
      <c r="F14" s="9" t="n">
        <v>1085</v>
      </c>
      <c r="G14" s="9" t="n">
        <v>676</v>
      </c>
      <c r="H14" s="11" t="n">
        <v>120.47</v>
      </c>
      <c r="I14" s="12" t="n">
        <v>161.8067</v>
      </c>
      <c r="J14" s="9" t="n">
        <v>2266</v>
      </c>
      <c r="K14" s="9" t="n">
        <v>2710</v>
      </c>
      <c r="L14" s="6" t="n">
        <v>0.095</v>
      </c>
      <c r="M14" s="15" t="n">
        <f aca="false">H14*I14</f>
        <v>19492.853149</v>
      </c>
      <c r="N14" s="15" t="n">
        <f aca="false">J14-K14</f>
        <v>-444</v>
      </c>
      <c r="O14" s="15" t="n">
        <f aca="false">M14+N14</f>
        <v>19048.853149</v>
      </c>
      <c r="P14" s="24" t="n">
        <f aca="false">IF(D14&gt;0,O14/D14,"nm")</f>
        <v>1.82792948363881</v>
      </c>
      <c r="Q14" s="24" t="n">
        <f aca="false">IF(E14&gt;0,O14/E14,"nm")</f>
        <v>12.6067856710788</v>
      </c>
      <c r="R14" s="24" t="n">
        <f aca="false">IF(F14&gt;0,O14/F14,"nm")</f>
        <v>17.556546681106</v>
      </c>
      <c r="S14" s="24" t="n">
        <f aca="false">IF(G14&gt;0,M14/G14,"nm")</f>
        <v>28.835581581361</v>
      </c>
      <c r="T14" s="14" t="n">
        <f aca="false">E14/D14</f>
        <v>0.144995681796373</v>
      </c>
    </row>
    <row r="15" customFormat="false" ht="15" hidden="false" customHeight="false" outlineLevel="0" collapsed="false">
      <c r="A15" s="36" t="s">
        <v>192</v>
      </c>
      <c r="B15" s="36" t="s">
        <v>193</v>
      </c>
      <c r="C15" s="36" t="s">
        <v>194</v>
      </c>
      <c r="D15" s="9" t="n">
        <v>10435</v>
      </c>
      <c r="E15" s="9" t="n">
        <v>1200</v>
      </c>
      <c r="F15" s="9" t="n">
        <v>703</v>
      </c>
      <c r="G15" s="9" t="n">
        <v>477</v>
      </c>
      <c r="H15" s="11" t="n">
        <v>47.19</v>
      </c>
      <c r="I15" s="12" t="n">
        <v>196.6435</v>
      </c>
      <c r="J15" s="9" t="n">
        <v>1750</v>
      </c>
      <c r="K15" s="9" t="n">
        <v>4555</v>
      </c>
      <c r="L15" s="6" t="n">
        <v>0.054</v>
      </c>
      <c r="M15" s="15" t="n">
        <f aca="false">H15*I15</f>
        <v>9279.606765</v>
      </c>
      <c r="N15" s="15" t="n">
        <f aca="false">J15-K15</f>
        <v>-2805</v>
      </c>
      <c r="O15" s="15" t="n">
        <f aca="false">M15+N15</f>
        <v>6474.606765</v>
      </c>
      <c r="P15" s="24" t="n">
        <f aca="false">IF(D15&gt;0,O15/D15,"nm")</f>
        <v>0.620470221849545</v>
      </c>
      <c r="Q15" s="24" t="n">
        <f aca="false">IF(E15&gt;0,O15/E15,"nm")</f>
        <v>5.3955056375</v>
      </c>
      <c r="R15" s="24" t="n">
        <f aca="false">IF(F15&gt;0,O15/F15,"nm")</f>
        <v>9.20996694879089</v>
      </c>
      <c r="S15" s="24" t="n">
        <f aca="false">IF(G15&gt;0,M15/G15,"nm")</f>
        <v>19.4541022327044</v>
      </c>
      <c r="T15" s="14" t="n">
        <f aca="false">E15/D15</f>
        <v>0.114997604216579</v>
      </c>
    </row>
    <row r="16" customFormat="false" ht="15" hidden="false" customHeight="false" outlineLevel="0" collapsed="false">
      <c r="A16" s="36" t="s">
        <v>195</v>
      </c>
      <c r="B16" s="36" t="s">
        <v>196</v>
      </c>
      <c r="C16" s="36" t="s">
        <v>194</v>
      </c>
      <c r="D16" s="9" t="n">
        <v>6957</v>
      </c>
      <c r="E16" s="9" t="n">
        <v>800</v>
      </c>
      <c r="F16" s="9" t="n">
        <v>438</v>
      </c>
      <c r="G16" s="9" t="n">
        <v>170</v>
      </c>
      <c r="H16" s="11" t="n">
        <v>26.7</v>
      </c>
      <c r="I16" s="12" t="n">
        <v>146.6757</v>
      </c>
      <c r="J16" s="9" t="n">
        <v>2355</v>
      </c>
      <c r="K16" s="9" t="n">
        <v>1432</v>
      </c>
      <c r="L16" s="6" t="n">
        <v>0.048</v>
      </c>
      <c r="M16" s="15" t="n">
        <f aca="false">H16*I16</f>
        <v>3916.24119</v>
      </c>
      <c r="N16" s="15" t="n">
        <f aca="false">J16-K16</f>
        <v>923</v>
      </c>
      <c r="O16" s="15" t="n">
        <f aca="false">M16+N16</f>
        <v>4839.24119</v>
      </c>
      <c r="P16" s="24" t="n">
        <f aca="false">IF(D16&gt;0,O16/D16,"nm")</f>
        <v>0.695593099036941</v>
      </c>
      <c r="Q16" s="24" t="n">
        <f aca="false">IF(E16&gt;0,O16/E16,"nm")</f>
        <v>6.0490514875</v>
      </c>
      <c r="R16" s="24" t="n">
        <f aca="false">IF(F16&gt;0,O16/F16,"nm")</f>
        <v>11.0484958675799</v>
      </c>
      <c r="S16" s="24" t="n">
        <f aca="false">IF(G16&gt;0,M16/G16,"nm")</f>
        <v>23.0367128823529</v>
      </c>
      <c r="T16" s="14" t="n">
        <f aca="false">E16/D16</f>
        <v>0.114992094293517</v>
      </c>
    </row>
    <row r="17" customFormat="false" ht="15" hidden="false" customHeight="false" outlineLevel="0" collapsed="false">
      <c r="A17" s="36" t="s">
        <v>197</v>
      </c>
      <c r="B17" s="36" t="s">
        <v>198</v>
      </c>
      <c r="C17" s="36" t="s">
        <v>199</v>
      </c>
      <c r="D17" s="9" t="n">
        <v>12309</v>
      </c>
      <c r="E17" s="9" t="n">
        <v>2769</v>
      </c>
      <c r="F17" s="9" t="n">
        <v>2470</v>
      </c>
      <c r="G17" s="9" t="n">
        <v>1684</v>
      </c>
      <c r="H17" s="11" t="n">
        <v>376.68</v>
      </c>
      <c r="I17" s="12" t="n">
        <v>160.0288</v>
      </c>
      <c r="J17" s="9" t="n">
        <v>3356</v>
      </c>
      <c r="K17" s="9" t="n">
        <v>4851</v>
      </c>
      <c r="L17" s="6" t="n">
        <v>0.158</v>
      </c>
      <c r="M17" s="15" t="n">
        <f aca="false">H17*I17</f>
        <v>60279.648384</v>
      </c>
      <c r="N17" s="15" t="n">
        <f aca="false">J17-K17</f>
        <v>-1495</v>
      </c>
      <c r="O17" s="15" t="n">
        <f aca="false">M17+N17</f>
        <v>58784.648384</v>
      </c>
      <c r="P17" s="24" t="n">
        <f aca="false">IF(D17&gt;0,O17/D17,"nm")</f>
        <v>4.77574525826631</v>
      </c>
      <c r="Q17" s="24" t="n">
        <f aca="false">IF(E17&gt;0,O17/E17,"nm")</f>
        <v>21.2295588241242</v>
      </c>
      <c r="R17" s="24" t="n">
        <f aca="false">IF(F17&gt;0,O17/F17,"nm")</f>
        <v>23.7994527870445</v>
      </c>
      <c r="S17" s="24" t="n">
        <f aca="false">IF(G17&gt;0,M17/G17,"nm")</f>
        <v>35.7955156674584</v>
      </c>
      <c r="T17" s="14" t="n">
        <f aca="false">E17/D17</f>
        <v>0.224957348281745</v>
      </c>
    </row>
    <row r="18" customFormat="false" ht="15" hidden="false" customHeight="false" outlineLevel="0" collapsed="false">
      <c r="A18" s="36" t="s">
        <v>200</v>
      </c>
      <c r="B18" s="36" t="s">
        <v>201</v>
      </c>
      <c r="C18" s="36" t="s">
        <v>199</v>
      </c>
      <c r="D18" s="9" t="n">
        <v>14610</v>
      </c>
      <c r="E18" s="9" t="n">
        <v>3287</v>
      </c>
      <c r="F18" s="9" t="n">
        <v>2887</v>
      </c>
      <c r="G18" s="9" t="n">
        <v>1855</v>
      </c>
      <c r="H18" s="11" t="n">
        <v>1313.5</v>
      </c>
      <c r="I18" s="12" t="n">
        <v>44.5829</v>
      </c>
      <c r="J18" s="9" t="n">
        <v>6298</v>
      </c>
      <c r="K18" s="9" t="n">
        <v>6007</v>
      </c>
      <c r="L18" s="6" t="n">
        <v>0.121</v>
      </c>
      <c r="M18" s="15" t="n">
        <f aca="false">H18*I18</f>
        <v>58559.63915</v>
      </c>
      <c r="N18" s="15" t="n">
        <f aca="false">J18-K18</f>
        <v>291</v>
      </c>
      <c r="O18" s="15" t="n">
        <f aca="false">M18+N18</f>
        <v>58850.63915</v>
      </c>
      <c r="P18" s="24" t="n">
        <f aca="false">IF(D18&gt;0,O18/D18,"nm")</f>
        <v>4.02810671800137</v>
      </c>
      <c r="Q18" s="24" t="n">
        <f aca="false">IF(E18&gt;0,O18/E18,"nm")</f>
        <v>17.9040581533313</v>
      </c>
      <c r="R18" s="24" t="n">
        <f aca="false">IF(F18&gt;0,O18/F18,"nm")</f>
        <v>20.3847035503983</v>
      </c>
      <c r="S18" s="24" t="n">
        <f aca="false">IF(G18&gt;0,M18/G18,"nm")</f>
        <v>31.5685386253369</v>
      </c>
      <c r="T18" s="14" t="n">
        <f aca="false">E18/D18</f>
        <v>0.22498288843258</v>
      </c>
    </row>
    <row r="19" customFormat="false" ht="15" hidden="false" customHeight="false" outlineLevel="0" collapsed="false">
      <c r="A19" s="36" t="s">
        <v>202</v>
      </c>
      <c r="B19" s="36" t="s">
        <v>203</v>
      </c>
      <c r="C19" s="36" t="s">
        <v>199</v>
      </c>
      <c r="D19" s="9" t="n">
        <v>3249</v>
      </c>
      <c r="E19" s="9" t="n">
        <v>731</v>
      </c>
      <c r="F19" s="9" t="n">
        <v>634</v>
      </c>
      <c r="G19" s="9" t="n">
        <v>465</v>
      </c>
      <c r="H19" s="11" t="n">
        <v>94.34</v>
      </c>
      <c r="I19" s="12" t="n">
        <v>154.9136</v>
      </c>
      <c r="J19" s="9" t="n">
        <v>707</v>
      </c>
      <c r="K19" s="9" t="n">
        <v>1976</v>
      </c>
      <c r="L19" s="6" t="n">
        <v>0.146</v>
      </c>
      <c r="M19" s="15" t="n">
        <f aca="false">H19*I19</f>
        <v>14614.549024</v>
      </c>
      <c r="N19" s="15" t="n">
        <f aca="false">J19-K19</f>
        <v>-1269</v>
      </c>
      <c r="O19" s="15" t="n">
        <f aca="false">M19+N19</f>
        <v>13345.549024</v>
      </c>
      <c r="P19" s="24" t="n">
        <f aca="false">IF(D19&gt;0,O19/D19,"nm")</f>
        <v>4.10758664943059</v>
      </c>
      <c r="Q19" s="24" t="n">
        <f aca="false">IF(E19&gt;0,O19/E19,"nm")</f>
        <v>18.2565650123119</v>
      </c>
      <c r="R19" s="24" t="n">
        <f aca="false">IF(F19&gt;0,O19/F19,"nm")</f>
        <v>21.0497618675079</v>
      </c>
      <c r="S19" s="24" t="n">
        <f aca="false">IF(G19&gt;0,M19/G19,"nm")</f>
        <v>31.4291376860215</v>
      </c>
      <c r="T19" s="14" t="n">
        <f aca="false">E19/D19</f>
        <v>0.224992305324715</v>
      </c>
    </row>
    <row r="20" customFormat="false" ht="15" hidden="false" customHeight="false" outlineLevel="0" collapsed="false">
      <c r="A20" s="36" t="s">
        <v>204</v>
      </c>
      <c r="B20" s="36" t="s">
        <v>205</v>
      </c>
      <c r="C20" s="36" t="s">
        <v>206</v>
      </c>
      <c r="D20" s="9" t="n">
        <v>9474</v>
      </c>
      <c r="E20" s="9" t="n">
        <v>1090</v>
      </c>
      <c r="F20" s="9" t="n">
        <v>395</v>
      </c>
      <c r="G20" s="9" t="n">
        <v>-110</v>
      </c>
      <c r="H20" s="11" t="n">
        <v>4.01</v>
      </c>
      <c r="I20" s="12" t="n">
        <v>302.4421</v>
      </c>
      <c r="J20" s="9" t="n">
        <v>5332</v>
      </c>
      <c r="K20" s="9" t="n">
        <v>1643</v>
      </c>
      <c r="L20" s="6" t="n">
        <v>0.03</v>
      </c>
      <c r="M20" s="15" t="n">
        <f aca="false">H20*I20</f>
        <v>1212.792821</v>
      </c>
      <c r="N20" s="15" t="n">
        <f aca="false">J20-K20</f>
        <v>3689</v>
      </c>
      <c r="O20" s="15" t="n">
        <f aca="false">M20+N20</f>
        <v>4901.792821</v>
      </c>
      <c r="P20" s="24" t="n">
        <f aca="false">IF(D20&gt;0,O20/D20,"nm")</f>
        <v>0.517394217964957</v>
      </c>
      <c r="Q20" s="24" t="n">
        <f aca="false">IF(E20&gt;0,O20/E20,"nm")</f>
        <v>4.49705763394495</v>
      </c>
      <c r="R20" s="24" t="n">
        <f aca="false">IF(F20&gt;0,O20/F20,"nm")</f>
        <v>12.409602078481</v>
      </c>
      <c r="S20" s="24" t="str">
        <f aca="false">IF(G20&gt;0,M20/G20,"nm")</f>
        <v>nm</v>
      </c>
      <c r="T20" s="14" t="n">
        <f aca="false">E20/D20</f>
        <v>0.115051720498206</v>
      </c>
    </row>
    <row r="21" customFormat="false" ht="15" hidden="false" customHeight="false" outlineLevel="0" collapsed="false">
      <c r="A21" s="36" t="s">
        <v>207</v>
      </c>
      <c r="B21" s="36" t="s">
        <v>208</v>
      </c>
      <c r="C21" s="36" t="s">
        <v>206</v>
      </c>
      <c r="D21" s="9" t="n">
        <v>2412</v>
      </c>
      <c r="E21" s="9" t="n">
        <v>277</v>
      </c>
      <c r="F21" s="9" t="n">
        <v>110</v>
      </c>
      <c r="G21" s="9" t="n">
        <v>38</v>
      </c>
      <c r="H21" s="11" t="n">
        <v>5.98</v>
      </c>
      <c r="I21" s="12" t="n">
        <v>100.3382</v>
      </c>
      <c r="J21" s="9" t="n">
        <v>888</v>
      </c>
      <c r="K21" s="9" t="n">
        <v>962</v>
      </c>
      <c r="L21" s="6" t="n">
        <v>0.054</v>
      </c>
      <c r="M21" s="15" t="n">
        <f aca="false">H21*I21</f>
        <v>600.022436</v>
      </c>
      <c r="N21" s="15" t="n">
        <f aca="false">J21-K21</f>
        <v>-74</v>
      </c>
      <c r="O21" s="15" t="n">
        <f aca="false">M21+N21</f>
        <v>526.022436</v>
      </c>
      <c r="P21" s="24" t="n">
        <f aca="false">IF(D21&gt;0,O21/D21,"nm")</f>
        <v>0.218085587064677</v>
      </c>
      <c r="Q21" s="24" t="n">
        <f aca="false">IF(E21&gt;0,O21/E21,"nm")</f>
        <v>1.89899796389892</v>
      </c>
      <c r="R21" s="24" t="n">
        <f aca="false">IF(F21&gt;0,O21/F21,"nm")</f>
        <v>4.78202214545455</v>
      </c>
      <c r="S21" s="24" t="n">
        <f aca="false">IF(G21&gt;0,M21/G21,"nm")</f>
        <v>15.7900641052632</v>
      </c>
      <c r="T21" s="14" t="n">
        <f aca="false">E21/D21</f>
        <v>0.114842454394693</v>
      </c>
    </row>
    <row r="22" customFormat="false" ht="15" hidden="false" customHeight="false" outlineLevel="0" collapsed="false">
      <c r="A22" s="36" t="s">
        <v>209</v>
      </c>
      <c r="B22" s="36" t="s">
        <v>210</v>
      </c>
      <c r="C22" s="36" t="s">
        <v>206</v>
      </c>
      <c r="D22" s="9" t="n">
        <v>3354</v>
      </c>
      <c r="E22" s="9" t="n">
        <v>386</v>
      </c>
      <c r="F22" s="9" t="n">
        <v>154</v>
      </c>
      <c r="G22" s="9" t="n">
        <v>45</v>
      </c>
      <c r="H22" s="11" t="n">
        <v>3.57</v>
      </c>
      <c r="I22" s="12" t="n">
        <v>169.1968</v>
      </c>
      <c r="J22" s="9" t="n">
        <v>1250</v>
      </c>
      <c r="K22" s="9" t="n">
        <v>1092</v>
      </c>
      <c r="L22" s="6" t="n">
        <v>0.06</v>
      </c>
      <c r="M22" s="15" t="n">
        <f aca="false">H22*I22</f>
        <v>604.032576</v>
      </c>
      <c r="N22" s="15" t="n">
        <f aca="false">J22-K22</f>
        <v>158</v>
      </c>
      <c r="O22" s="15" t="n">
        <f aca="false">M22+N22</f>
        <v>762.032576</v>
      </c>
      <c r="P22" s="24" t="n">
        <f aca="false">IF(D22&gt;0,O22/D22,"nm")</f>
        <v>0.227201125819917</v>
      </c>
      <c r="Q22" s="24" t="n">
        <f aca="false">IF(E22&gt;0,O22/E22,"nm")</f>
        <v>1.97417765803109</v>
      </c>
      <c r="R22" s="24" t="n">
        <f aca="false">IF(F22&gt;0,O22/F22,"nm")</f>
        <v>4.94826348051948</v>
      </c>
      <c r="S22" s="24" t="n">
        <f aca="false">IF(G22&gt;0,M22/G22,"nm")</f>
        <v>13.4229461333333</v>
      </c>
      <c r="T22" s="14" t="n">
        <f aca="false">E22/D22</f>
        <v>0.115086463923673</v>
      </c>
    </row>
    <row r="23" customFormat="false" ht="15" hidden="false" customHeight="false" outlineLevel="0" collapsed="false">
      <c r="A23" s="36" t="s">
        <v>211</v>
      </c>
      <c r="B23" s="36" t="s">
        <v>212</v>
      </c>
      <c r="C23" s="36" t="s">
        <v>213</v>
      </c>
      <c r="D23" s="9" t="n">
        <v>8463</v>
      </c>
      <c r="E23" s="9" t="n">
        <v>1989</v>
      </c>
      <c r="F23" s="9" t="n">
        <v>1073</v>
      </c>
      <c r="G23" s="9" t="n">
        <v>748</v>
      </c>
      <c r="H23" s="11" t="n">
        <v>95.42</v>
      </c>
      <c r="I23" s="12" t="n">
        <v>117.2645</v>
      </c>
      <c r="J23" s="9" t="n">
        <v>2265</v>
      </c>
      <c r="K23" s="9" t="n">
        <v>4985</v>
      </c>
      <c r="L23" s="6" t="n">
        <v>0.056</v>
      </c>
      <c r="M23" s="15" t="n">
        <f aca="false">H23*I23</f>
        <v>11189.37859</v>
      </c>
      <c r="N23" s="15" t="n">
        <f aca="false">J23-K23</f>
        <v>-2720</v>
      </c>
      <c r="O23" s="15" t="n">
        <f aca="false">M23+N23</f>
        <v>8469.37859</v>
      </c>
      <c r="P23" s="24" t="n">
        <f aca="false">IF(D23&gt;0,O23/D23,"nm")</f>
        <v>1.00075370317854</v>
      </c>
      <c r="Q23" s="24" t="n">
        <f aca="false">IF(E23&gt;0,O23/E23,"nm")</f>
        <v>4.25810889391654</v>
      </c>
      <c r="R23" s="24" t="n">
        <f aca="false">IF(F23&gt;0,O23/F23,"nm")</f>
        <v>7.89317669151911</v>
      </c>
      <c r="S23" s="24" t="n">
        <f aca="false">IF(G23&gt;0,M23/G23,"nm")</f>
        <v>14.9590622860963</v>
      </c>
      <c r="T23" s="14" t="n">
        <f aca="false">E23/D23</f>
        <v>0.235023041474654</v>
      </c>
    </row>
    <row r="24" customFormat="false" ht="15" hidden="false" customHeight="false" outlineLevel="0" collapsed="false">
      <c r="A24" s="36" t="s">
        <v>214</v>
      </c>
      <c r="B24" s="36" t="s">
        <v>215</v>
      </c>
      <c r="C24" s="36" t="s">
        <v>213</v>
      </c>
      <c r="D24" s="9" t="n">
        <v>3941</v>
      </c>
      <c r="E24" s="9" t="n">
        <v>926</v>
      </c>
      <c r="F24" s="9" t="n">
        <v>515</v>
      </c>
      <c r="G24" s="9" t="n">
        <v>359</v>
      </c>
      <c r="H24" s="11" t="n">
        <v>18.49</v>
      </c>
      <c r="I24" s="12" t="n">
        <v>313.4833</v>
      </c>
      <c r="J24" s="9" t="n">
        <v>1031</v>
      </c>
      <c r="K24" s="9" t="n">
        <v>2045</v>
      </c>
      <c r="L24" s="6" t="n">
        <v>0.009</v>
      </c>
      <c r="M24" s="15" t="n">
        <f aca="false">H24*I24</f>
        <v>5796.306217</v>
      </c>
      <c r="N24" s="15" t="n">
        <f aca="false">J24-K24</f>
        <v>-1014</v>
      </c>
      <c r="O24" s="15" t="n">
        <f aca="false">M24+N24</f>
        <v>4782.306217</v>
      </c>
      <c r="P24" s="24" t="n">
        <f aca="false">IF(D24&gt;0,O24/D24,"nm")</f>
        <v>1.21347531514844</v>
      </c>
      <c r="Q24" s="24" t="n">
        <f aca="false">IF(E24&gt;0,O24/E24,"nm")</f>
        <v>5.16447755615551</v>
      </c>
      <c r="R24" s="24" t="n">
        <f aca="false">IF(F24&gt;0,O24/F24,"nm")</f>
        <v>9.28603148932039</v>
      </c>
      <c r="S24" s="24" t="n">
        <f aca="false">IF(G24&gt;0,M24/G24,"nm")</f>
        <v>16.1456997688022</v>
      </c>
      <c r="T24" s="14" t="n">
        <f aca="false">E24/D24</f>
        <v>0.234965744734839</v>
      </c>
    </row>
    <row r="26" customFormat="false" ht="15" hidden="false" customHeight="false" outlineLevel="0" collapsed="false">
      <c r="A26" s="7" t="s">
        <v>216</v>
      </c>
    </row>
    <row r="27" customFormat="false" ht="15" hidden="false" customHeight="false" outlineLevel="0" collapsed="false">
      <c r="A27" s="7" t="s">
        <v>217</v>
      </c>
    </row>
    <row r="29" customFormat="false" ht="15" hidden="false" customHeight="false" outlineLevel="0" collapsed="false">
      <c r="A29" s="13" t="s">
        <v>218</v>
      </c>
      <c r="C29" s="7" t="s">
        <v>219</v>
      </c>
    </row>
    <row r="30" customFormat="false" ht="15" hidden="false" customHeight="false" outlineLevel="0" collapsed="false">
      <c r="A30" s="17" t="s">
        <v>148</v>
      </c>
      <c r="B30" s="17" t="s">
        <v>149</v>
      </c>
      <c r="D30" s="17" t="s">
        <v>151</v>
      </c>
      <c r="E30" s="17" t="s">
        <v>152</v>
      </c>
      <c r="L30" s="17" t="s">
        <v>159</v>
      </c>
      <c r="M30" s="17" t="s">
        <v>160</v>
      </c>
      <c r="O30" s="17" t="s">
        <v>119</v>
      </c>
      <c r="P30" s="17" t="s">
        <v>161</v>
      </c>
      <c r="Q30" s="17" t="s">
        <v>162</v>
      </c>
      <c r="R30" s="17" t="s">
        <v>163</v>
      </c>
      <c r="S30" s="17" t="s">
        <v>164</v>
      </c>
      <c r="T30" s="17" t="s">
        <v>165</v>
      </c>
    </row>
    <row r="31" customFormat="false" ht="15" hidden="false" customHeight="false" outlineLevel="0" collapsed="false">
      <c r="A31" s="36" t="s">
        <v>169</v>
      </c>
      <c r="B31" s="5" t="str">
        <f aca="false">INDEX(B$5:B$24,MATCH($A31,$A$5:$A$24,0))</f>
        <v>Bhima Motors Ltd</v>
      </c>
      <c r="D31" s="15" t="n">
        <f aca="false">INDEX(D$5:D$24,MATCH($A31,$A$5:$A$24,0))</f>
        <v>14186</v>
      </c>
      <c r="E31" s="15" t="n">
        <f aca="false">INDEX(E$5:E$24,MATCH($A31,$A$5:$A$24,0))</f>
        <v>1915</v>
      </c>
      <c r="L31" s="14" t="n">
        <f aca="false">INDEX(L$5:L$24,MATCH($A31,$A$5:$A$24,0))</f>
        <v>0.082</v>
      </c>
      <c r="M31" s="15" t="n">
        <f aca="false">INDEX(M$5:M$24,MATCH($A31,$A$5:$A$24,0))</f>
        <v>14451.06026</v>
      </c>
      <c r="O31" s="15" t="n">
        <f aca="false">INDEX(O$5:O$24,MATCH($A31,$A$5:$A$24,0))</f>
        <v>15274.06026</v>
      </c>
      <c r="P31" s="24" t="n">
        <f aca="false">INDEX(P$5:P$24,MATCH($A31,$A$5:$A$24,0))</f>
        <v>1.07669958127732</v>
      </c>
      <c r="Q31" s="24" t="n">
        <f aca="false">INDEX(Q$5:Q$24,MATCH($A31,$A$5:$A$24,0))</f>
        <v>7.97601057963446</v>
      </c>
      <c r="R31" s="24" t="n">
        <f aca="false">INDEX(R$5:R$24,MATCH($A31,$A$5:$A$24,0))</f>
        <v>11.0043661815562</v>
      </c>
      <c r="S31" s="24" t="n">
        <f aca="false">INDEX(S$5:S$24,MATCH($A31,$A$5:$A$24,0))</f>
        <v>23.3458162520194</v>
      </c>
      <c r="T31" s="14" t="n">
        <f aca="false">INDEX(T$5:T$24,MATCH($A31,$A$5:$A$24,0))</f>
        <v>0.134992245876216</v>
      </c>
    </row>
    <row r="32" customFormat="false" ht="15" hidden="false" customHeight="false" outlineLevel="0" collapsed="false">
      <c r="A32" s="36" t="s">
        <v>174</v>
      </c>
      <c r="B32" s="5" t="str">
        <f aca="false">INDEX(B$5:B$24,MATCH($A32,$A$5:$A$24,0))</f>
        <v>Nilgiri Spice Foods Ltd</v>
      </c>
      <c r="D32" s="15" t="n">
        <f aca="false">INDEX(D$5:D$24,MATCH($A32,$A$5:$A$24,0))</f>
        <v>14632</v>
      </c>
      <c r="E32" s="15" t="n">
        <f aca="false">INDEX(E$5:E$24,MATCH($A32,$A$5:$A$24,0))</f>
        <v>1975</v>
      </c>
      <c r="L32" s="14" t="n">
        <f aca="false">INDEX(L$5:L$24,MATCH($A32,$A$5:$A$24,0))</f>
        <v>0.061</v>
      </c>
      <c r="M32" s="15" t="n">
        <f aca="false">INDEX(M$5:M$24,MATCH($A32,$A$5:$A$24,0))</f>
        <v>18775.459647</v>
      </c>
      <c r="O32" s="15" t="n">
        <f aca="false">INDEX(O$5:O$24,MATCH($A32,$A$5:$A$24,0))</f>
        <v>22185.459647</v>
      </c>
      <c r="P32" s="24" t="n">
        <f aca="false">INDEX(P$5:P$24,MATCH($A32,$A$5:$A$24,0))</f>
        <v>1.51622878943412</v>
      </c>
      <c r="Q32" s="24" t="n">
        <f aca="false">INDEX(Q$5:Q$24,MATCH($A32,$A$5:$A$24,0))</f>
        <v>11.2331441250633</v>
      </c>
      <c r="R32" s="24" t="n">
        <f aca="false">INDEX(R$5:R$24,MATCH($A32,$A$5:$A$24,0))</f>
        <v>16.3489017295505</v>
      </c>
      <c r="S32" s="24" t="n">
        <f aca="false">INDEX(S$5:S$24,MATCH($A32,$A$5:$A$24,0))</f>
        <v>32.4273914455959</v>
      </c>
      <c r="T32" s="14" t="n">
        <f aca="false">INDEX(T$5:T$24,MATCH($A32,$A$5:$A$24,0))</f>
        <v>0.134978130125752</v>
      </c>
    </row>
    <row r="33" customFormat="false" ht="15" hidden="false" customHeight="false" outlineLevel="0" collapsed="false">
      <c r="A33" s="36" t="s">
        <v>177</v>
      </c>
      <c r="B33" s="5" t="str">
        <f aca="false">INDEX(B$5:B$24,MATCH($A33,$A$5:$A$24,0))</f>
        <v>Palmetto Grocers Inc</v>
      </c>
      <c r="D33" s="15" t="n">
        <f aca="false">INDEX(D$5:D$24,MATCH($A33,$A$5:$A$24,0))</f>
        <v>4666</v>
      </c>
      <c r="E33" s="15" t="n">
        <f aca="false">INDEX(E$5:E$24,MATCH($A33,$A$5:$A$24,0))</f>
        <v>630</v>
      </c>
      <c r="L33" s="14" t="n">
        <f aca="false">INDEX(L$5:L$24,MATCH($A33,$A$5:$A$24,0))</f>
        <v>0.065</v>
      </c>
      <c r="M33" s="15" t="n">
        <f aca="false">INDEX(M$5:M$24,MATCH($A33,$A$5:$A$24,0))</f>
        <v>4392.055136</v>
      </c>
      <c r="O33" s="15" t="n">
        <f aca="false">INDEX(O$5:O$24,MATCH($A33,$A$5:$A$24,0))</f>
        <v>6053.055136</v>
      </c>
      <c r="P33" s="24" t="n">
        <f aca="false">INDEX(P$5:P$24,MATCH($A33,$A$5:$A$24,0))</f>
        <v>1.29726856750964</v>
      </c>
      <c r="Q33" s="24" t="n">
        <f aca="false">INDEX(Q$5:Q$24,MATCH($A33,$A$5:$A$24,0))</f>
        <v>9.60802402539683</v>
      </c>
      <c r="R33" s="24" t="n">
        <f aca="false">INDEX(R$5:R$24,MATCH($A33,$A$5:$A$24,0))</f>
        <v>14.0768724093023</v>
      </c>
      <c r="S33" s="24" t="n">
        <f aca="false">INDEX(S$5:S$24,MATCH($A33,$A$5:$A$24,0))</f>
        <v>31.3718224</v>
      </c>
      <c r="T33" s="14" t="n">
        <f aca="false">INDEX(T$5:T$24,MATCH($A33,$A$5:$A$24,0))</f>
        <v>0.135019288469781</v>
      </c>
    </row>
    <row r="34" customFormat="false" ht="15" hidden="false" customHeight="false" outlineLevel="0" collapsed="false">
      <c r="A34" s="36" t="s">
        <v>192</v>
      </c>
      <c r="B34" s="5" t="str">
        <f aca="false">INDEX(B$5:B$24,MATCH($A34,$A$5:$A$24,0))</f>
        <v>Harbourline Freight Corp</v>
      </c>
      <c r="D34" s="15" t="n">
        <f aca="false">INDEX(D$5:D$24,MATCH($A34,$A$5:$A$24,0))</f>
        <v>10435</v>
      </c>
      <c r="E34" s="15" t="n">
        <f aca="false">INDEX(E$5:E$24,MATCH($A34,$A$5:$A$24,0))</f>
        <v>1200</v>
      </c>
      <c r="L34" s="14" t="n">
        <f aca="false">INDEX(L$5:L$24,MATCH($A34,$A$5:$A$24,0))</f>
        <v>0.054</v>
      </c>
      <c r="M34" s="15" t="n">
        <f aca="false">INDEX(M$5:M$24,MATCH($A34,$A$5:$A$24,0))</f>
        <v>9279.606765</v>
      </c>
      <c r="O34" s="15" t="n">
        <f aca="false">INDEX(O$5:O$24,MATCH($A34,$A$5:$A$24,0))</f>
        <v>6474.606765</v>
      </c>
      <c r="P34" s="24" t="n">
        <f aca="false">INDEX(P$5:P$24,MATCH($A34,$A$5:$A$24,0))</f>
        <v>0.620470221849545</v>
      </c>
      <c r="Q34" s="24" t="n">
        <f aca="false">INDEX(Q$5:Q$24,MATCH($A34,$A$5:$A$24,0))</f>
        <v>5.3955056375</v>
      </c>
      <c r="R34" s="24" t="n">
        <f aca="false">INDEX(R$5:R$24,MATCH($A34,$A$5:$A$24,0))</f>
        <v>9.20996694879089</v>
      </c>
      <c r="S34" s="24" t="n">
        <f aca="false">INDEX(S$5:S$24,MATCH($A34,$A$5:$A$24,0))</f>
        <v>19.4541022327044</v>
      </c>
      <c r="T34" s="14" t="n">
        <f aca="false">INDEX(T$5:T$24,MATCH($A34,$A$5:$A$24,0))</f>
        <v>0.114997604216579</v>
      </c>
    </row>
    <row r="35" customFormat="false" ht="15" hidden="false" customHeight="false" outlineLevel="0" collapsed="false">
      <c r="A35" s="36" t="s">
        <v>195</v>
      </c>
      <c r="B35" s="5" t="str">
        <f aca="false">INDEX(B$5:B$24,MATCH($A35,$A$5:$A$24,0))</f>
        <v>Taptee Logistics Ltd</v>
      </c>
      <c r="D35" s="15" t="n">
        <f aca="false">INDEX(D$5:D$24,MATCH($A35,$A$5:$A$24,0))</f>
        <v>6957</v>
      </c>
      <c r="E35" s="15" t="n">
        <f aca="false">INDEX(E$5:E$24,MATCH($A35,$A$5:$A$24,0))</f>
        <v>800</v>
      </c>
      <c r="L35" s="14" t="n">
        <f aca="false">INDEX(L$5:L$24,MATCH($A35,$A$5:$A$24,0))</f>
        <v>0.048</v>
      </c>
      <c r="M35" s="15" t="n">
        <f aca="false">INDEX(M$5:M$24,MATCH($A35,$A$5:$A$24,0))</f>
        <v>3916.24119</v>
      </c>
      <c r="O35" s="15" t="n">
        <f aca="false">INDEX(O$5:O$24,MATCH($A35,$A$5:$A$24,0))</f>
        <v>4839.24119</v>
      </c>
      <c r="P35" s="24" t="n">
        <f aca="false">INDEX(P$5:P$24,MATCH($A35,$A$5:$A$24,0))</f>
        <v>0.695593099036941</v>
      </c>
      <c r="Q35" s="24" t="n">
        <f aca="false">INDEX(Q$5:Q$24,MATCH($A35,$A$5:$A$24,0))</f>
        <v>6.0490514875</v>
      </c>
      <c r="R35" s="24" t="n">
        <f aca="false">INDEX(R$5:R$24,MATCH($A35,$A$5:$A$24,0))</f>
        <v>11.0484958675799</v>
      </c>
      <c r="S35" s="24" t="n">
        <f aca="false">INDEX(S$5:S$24,MATCH($A35,$A$5:$A$24,0))</f>
        <v>23.0367128823529</v>
      </c>
      <c r="T35" s="14" t="n">
        <f aca="false">INDEX(T$5:T$24,MATCH($A35,$A$5:$A$24,0))</f>
        <v>0.114992094293517</v>
      </c>
    </row>
    <row r="36" customFormat="false" ht="15" hidden="false" customHeight="false" outlineLevel="0" collapsed="false">
      <c r="A36" s="4" t="s">
        <v>220</v>
      </c>
      <c r="P36" s="45" t="n">
        <f aca="false">MEDIAN(P31:P35)</f>
        <v>1.07669958127732</v>
      </c>
      <c r="Q36" s="45" t="n">
        <f aca="false">MEDIAN(Q31:Q35)</f>
        <v>7.97601057963446</v>
      </c>
      <c r="R36" s="45" t="n">
        <f aca="false">MEDIAN(R31:R35)</f>
        <v>11.0484958675799</v>
      </c>
      <c r="S36" s="45" t="n">
        <f aca="false">MEDIAN(S31:S35)</f>
        <v>23.3458162520194</v>
      </c>
    </row>
    <row r="37" customFormat="false" ht="15" hidden="false" customHeight="false" outlineLevel="0" collapsed="false">
      <c r="A37" s="4" t="s">
        <v>221</v>
      </c>
      <c r="P37" s="45" t="n">
        <f aca="false">AVERAGE(P31:P35)</f>
        <v>1.04125205182151</v>
      </c>
      <c r="Q37" s="45" t="n">
        <f aca="false">AVERAGE(Q31:Q35)</f>
        <v>8.05234717101892</v>
      </c>
      <c r="R37" s="45" t="n">
        <f aca="false">AVERAGE(R31:R35)</f>
        <v>12.337720627356</v>
      </c>
      <c r="S37" s="45" t="n">
        <f aca="false">AVERAGE(S31:S35)</f>
        <v>25.9271690425345</v>
      </c>
    </row>
    <row r="38" customFormat="false" ht="15" hidden="false" customHeight="false" outlineLevel="0" collapsed="false">
      <c r="A38" s="4" t="s">
        <v>222</v>
      </c>
      <c r="P38" s="45" t="n">
        <f aca="false">MIN(P31:P35)</f>
        <v>0.620470221849545</v>
      </c>
      <c r="Q38" s="45" t="n">
        <f aca="false">MIN(Q31:Q35)</f>
        <v>5.3955056375</v>
      </c>
      <c r="R38" s="45" t="n">
        <f aca="false">MIN(R31:R35)</f>
        <v>9.20996694879089</v>
      </c>
      <c r="S38" s="45" t="n">
        <f aca="false">MIN(S31:S35)</f>
        <v>19.4541022327044</v>
      </c>
    </row>
    <row r="39" customFormat="false" ht="15" hidden="false" customHeight="false" outlineLevel="0" collapsed="false">
      <c r="A39" s="4" t="s">
        <v>223</v>
      </c>
      <c r="P39" s="45" t="n">
        <f aca="false">MAX(P31:P35)</f>
        <v>1.51622878943412</v>
      </c>
      <c r="Q39" s="45" t="n">
        <f aca="false">MAX(Q31:Q35)</f>
        <v>11.2331441250633</v>
      </c>
      <c r="R39" s="45" t="n">
        <f aca="false">MAX(R31:R35)</f>
        <v>16.3489017295505</v>
      </c>
      <c r="S39" s="45" t="n">
        <f aca="false">MAX(S31:S35)</f>
        <v>32.4273914455959</v>
      </c>
    </row>
    <row r="40" customFormat="false" ht="15" hidden="false" customHeight="false" outlineLevel="0" collapsed="false">
      <c r="A40" s="4" t="s">
        <v>224</v>
      </c>
      <c r="P40" s="45" t="n">
        <f aca="false">QUARTILE(P31:P35,1)</f>
        <v>0.695593099036941</v>
      </c>
      <c r="Q40" s="45" t="n">
        <f aca="false">QUARTILE(Q31:Q35,1)</f>
        <v>6.0490514875</v>
      </c>
      <c r="R40" s="45" t="n">
        <f aca="false">QUARTILE(R31:R35,1)</f>
        <v>11.0043661815562</v>
      </c>
      <c r="S40" s="45" t="n">
        <f aca="false">QUARTILE(S31:S35,1)</f>
        <v>23.0367128823529</v>
      </c>
    </row>
    <row r="41" customFormat="false" ht="15" hidden="false" customHeight="false" outlineLevel="0" collapsed="false">
      <c r="A41" s="4" t="s">
        <v>225</v>
      </c>
      <c r="P41" s="45" t="n">
        <f aca="false">QUARTILE(P31:P35,3)</f>
        <v>1.29726856750964</v>
      </c>
      <c r="Q41" s="45" t="n">
        <f aca="false">QUARTILE(Q31:Q35,3)</f>
        <v>9.60802402539683</v>
      </c>
      <c r="R41" s="45" t="n">
        <f aca="false">QUARTILE(R31:R35,3)</f>
        <v>14.0768724093023</v>
      </c>
      <c r="S41" s="45" t="n">
        <f aca="false">QUARTILE(S31:S35,3)</f>
        <v>31.3718224</v>
      </c>
    </row>
    <row r="43" customFormat="false" ht="15" hidden="false" customHeight="false" outlineLevel="0" collapsed="false">
      <c r="A43" s="13" t="s">
        <v>226</v>
      </c>
    </row>
    <row r="44" customFormat="false" ht="15" hidden="false" customHeight="false" outlineLevel="0" collapsed="false">
      <c r="A44" s="5" t="s">
        <v>227</v>
      </c>
      <c r="D44" s="46" t="n">
        <f aca="false">Q36</f>
        <v>7.97601057963446</v>
      </c>
    </row>
    <row r="45" customFormat="false" ht="15" hidden="false" customHeight="false" outlineLevel="0" collapsed="false">
      <c r="A45" s="5" t="s">
        <v>228</v>
      </c>
      <c r="D45" s="31" t="n">
        <f aca="false">E7</f>
        <v>1243</v>
      </c>
    </row>
    <row r="46" customFormat="false" ht="15" hidden="false" customHeight="false" outlineLevel="0" collapsed="false">
      <c r="A46" s="5" t="s">
        <v>229</v>
      </c>
      <c r="D46" s="15" t="n">
        <f aca="false">D44*D45</f>
        <v>9914.18115048564</v>
      </c>
    </row>
    <row r="47" customFormat="false" ht="15" hidden="false" customHeight="false" outlineLevel="0" collapsed="false">
      <c r="A47" s="5" t="s">
        <v>230</v>
      </c>
      <c r="D47" s="15" t="n">
        <f aca="false">-N7</f>
        <v>1249</v>
      </c>
    </row>
    <row r="48" customFormat="false" ht="15" hidden="false" customHeight="false" outlineLevel="0" collapsed="false">
      <c r="A48" s="5" t="s">
        <v>231</v>
      </c>
      <c r="D48" s="19" t="n">
        <f aca="false">D46+D47</f>
        <v>11163.1811504856</v>
      </c>
    </row>
    <row r="49" customFormat="false" ht="15" hidden="false" customHeight="false" outlineLevel="0" collapsed="false">
      <c r="A49" s="4" t="s">
        <v>232</v>
      </c>
      <c r="D49" s="27" t="n">
        <f aca="false">D48/H7</f>
        <v>128.062190552778</v>
      </c>
    </row>
    <row r="50" customFormat="false" ht="15" hidden="false" customHeight="false" outlineLevel="0" collapsed="false">
      <c r="A50" s="5" t="s">
        <v>60</v>
      </c>
      <c r="D50" s="28" t="n">
        <f aca="false">I7</f>
        <v>149.6865</v>
      </c>
    </row>
    <row r="51" customFormat="false" ht="15" hidden="false" customHeight="false" outlineLevel="0" collapsed="false">
      <c r="A51" s="4" t="s">
        <v>127</v>
      </c>
      <c r="D51" s="29" t="n">
        <f aca="false">D49/D50-1</f>
        <v>-0.144463992726279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2026-08-31T09:01:40Z</dcterms:created>
  <dc:creator>openpyxl</dc:creator>
  <dc:description/>
  <dc:language>en-US</dc:language>
  <cp:lastModifiedBy/>
  <dcterms:modified xsi:type="dcterms:W3CDTF">2026-08-31T09:01:40Z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