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Mode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<sst xmlns="http://schemas.openxmlformats.org/spreadsheetml/2006/main" count="170" uniqueCount="153">
  <si>
    <t xml:space="preserve">Kaveri Retail Ltd - three-statement model</t>
  </si>
  <si>
    <t xml:space="preserve">How to read this workbook</t>
  </si>
  <si>
    <t xml:space="preserve">Blue text  = a hardcoded input. Every assumption in the model is blue, and blue is the only</t>
  </si>
  <si>
    <t xml:space="preserve">font colour you should ever type over.</t>
  </si>
  <si>
    <t xml:space="preserve">Black text = a formula. If you type over black text you have broken the model.</t>
  </si>
  <si>
    <t xml:space="preserve">Green text = a link to another sheet in this workbook.</t>
  </si>
  <si>
    <t xml:space="preserve">Yellow fill = the checks block. It must read zero.</t>
  </si>
  <si>
    <t xml:space="preserve">What this is</t>
  </si>
  <si>
    <t xml:space="preserve">A complete, balancing three-statement forecast model. Use it as the target to compare your</t>
  </si>
  <si>
    <t xml:space="preserve">own build against - not as something to copy. Build yours first, then open this one.</t>
  </si>
  <si>
    <t xml:space="preserve">Sheets</t>
  </si>
  <si>
    <t xml:space="preserve">Assumptions   every forecast driver, with the FY26 actual beside it for comparison</t>
  </si>
  <si>
    <t xml:space="preserve">Model         income statement, working capital, fixed assets, debt, cash flow, balance sheet, checks</t>
  </si>
  <si>
    <t xml:space="preserve">Where the numbers come from</t>
  </si>
  <si>
    <t xml:space="preserve">FY24-FY26 actuals are pulled from the sqlcamp database (company_id = 1). The query that</t>
  </si>
  <si>
    <t xml:space="preserve">produced each block is quoted in scripts/build_reference_models.py.</t>
  </si>
  <si>
    <t xml:space="preserve">Things worth noticing</t>
  </si>
  <si>
    <t xml:space="preserve">1. Cash is not a plug. It is built from the cash flow statement, and the balance sheet is</t>
  </si>
  <si>
    <t xml:space="preserve">built independently from the schedules. That is why the balance check means something.</t>
  </si>
  <si>
    <t xml:space="preserve">2. Interest is charged on OPENING debt, not average debt. This removes the circular</t>
  </si>
  <si>
    <t xml:space="preserve">reference completely. The banking alternative - average debt plus iterative calculation -</t>
  </si>
  <si>
    <t xml:space="preserve">is more precise and more fragile. Module 14 covers both.</t>
  </si>
  <si>
    <t xml:space="preserve">3. Every forecast column (E to I) carries an identical formula. Click along row 7 and check.</t>
  </si>
  <si>
    <t xml:space="preserve">4. Historical columns are blue because they are actuals, not calculations.</t>
  </si>
  <si>
    <t xml:space="preserve">5. FY24 has no cash flow statement because there is no FY23 balance sheet to open from.</t>
  </si>
  <si>
    <t xml:space="preserve">Try this</t>
  </si>
  <si>
    <t xml:space="preserve">Change the FY27 revenue growth on the Assumptions sheet from 6.0% to 20%. Watch every</t>
  </si>
  <si>
    <t xml:space="preserve">statement move and the checks stay at zero. That is what a linked model does. Then change</t>
  </si>
  <si>
    <t xml:space="preserve">DSO from 30.6 to 60 days and watch cash fall even though profit is unchanged - that is</t>
  </si>
  <si>
    <t xml:space="preserve">working capital, and it is the single most common thing juniors get wrong.</t>
  </si>
  <si>
    <t xml:space="preserve">Kaveri Retail Ltd (KVRA) - forecast assumptions</t>
  </si>
  <si>
    <t xml:space="preserve">Fiscal year ends 31 March. All amounts in Rs millions unless stated.</t>
  </si>
  <si>
    <t xml:space="preserve">Every forecast driver is anchored to what the business actually did in FY26.</t>
  </si>
  <si>
    <t xml:space="preserve">If you change an assumption, say why in the note column.</t>
  </si>
  <si>
    <t xml:space="preserve">Driver</t>
  </si>
  <si>
    <t xml:space="preserve">FY26A</t>
  </si>
  <si>
    <t xml:space="preserve">FY27E</t>
  </si>
  <si>
    <t xml:space="preserve">FY28E</t>
  </si>
  <si>
    <t xml:space="preserve">FY29E</t>
  </si>
  <si>
    <t xml:space="preserve">FY30E</t>
  </si>
  <si>
    <t xml:space="preserve">FY31E</t>
  </si>
  <si>
    <t xml:space="preserve">Revenue growth (%)</t>
  </si>
  <si>
    <t xml:space="preserve">Gross margin (%)</t>
  </si>
  <si>
    <t xml:space="preserve">Operating expenses (% of revenue)</t>
  </si>
  <si>
    <t xml:space="preserve">Depreciation (% of opening net PPE)</t>
  </si>
  <si>
    <t xml:space="preserve">Amortisation (% of opening intangibles)</t>
  </si>
  <si>
    <t xml:space="preserve">Capex (% of revenue)</t>
  </si>
  <si>
    <t xml:space="preserve">Days sales outstanding (DSO)</t>
  </si>
  <si>
    <t xml:space="preserve">Days inventory outstanding (DIO)</t>
  </si>
  <si>
    <t xml:space="preserve">Days payable outstanding (DPO)</t>
  </si>
  <si>
    <t xml:space="preserve">Other current assets (% of revenue)</t>
  </si>
  <si>
    <t xml:space="preserve">Accrued liabilities (% of revenue)</t>
  </si>
  <si>
    <t xml:space="preserve">Deferred revenue (% of revenue)</t>
  </si>
  <si>
    <t xml:space="preserve">Interest rate on opening total debt (%)</t>
  </si>
  <si>
    <t xml:space="preserve">Interest earned on opening cash (%)</t>
  </si>
  <si>
    <t xml:space="preserve">Effective tax rate (%)</t>
  </si>
  <si>
    <t xml:space="preserve">Scheduled debt repayment (Rs m)</t>
  </si>
  <si>
    <t xml:space="preserve">Dividend payout (% of net income)</t>
  </si>
  <si>
    <t xml:space="preserve">Blue = you may change it. Green = pulled from the Model sheet's actuals.</t>
  </si>
  <si>
    <t xml:space="preserve">Note: interest is charged on OPENING debt, not average debt. That removes the</t>
  </si>
  <si>
    <t xml:space="preserve">circular reference entirely, at the cost of a little precision. See Module 14.</t>
  </si>
  <si>
    <t xml:space="preserve">Kaveri Retail Ltd (KVRA) - three-statement model</t>
  </si>
  <si>
    <t xml:space="preserve">Rs millions, fiscal years ending 31 March</t>
  </si>
  <si>
    <t xml:space="preserve">FY24-FY26 are actuals (blue). FY27-FY31 are formulas, identical across every forecast column.</t>
  </si>
  <si>
    <t xml:space="preserve">Fiscal year</t>
  </si>
  <si>
    <t xml:space="preserve">FY24A</t>
  </si>
  <si>
    <t xml:space="preserve">FY25A</t>
  </si>
  <si>
    <t xml:space="preserve">INCOME STATEMENT</t>
  </si>
  <si>
    <t xml:space="preserve">Revenue</t>
  </si>
  <si>
    <t xml:space="preserve">  Revenue growth (%)</t>
  </si>
  <si>
    <t xml:space="preserve">Cost of goods sold</t>
  </si>
  <si>
    <t xml:space="preserve">Gross profit</t>
  </si>
  <si>
    <t xml:space="preserve">  Gross margin (%)</t>
  </si>
  <si>
    <t xml:space="preserve">Operating expenses</t>
  </si>
  <si>
    <t xml:space="preserve">EBITDA</t>
  </si>
  <si>
    <t xml:space="preserve">  EBITDA margin (%)</t>
  </si>
  <si>
    <t xml:space="preserve">Depreciation</t>
  </si>
  <si>
    <t xml:space="preserve">Amortisation</t>
  </si>
  <si>
    <t xml:space="preserve">EBIT</t>
  </si>
  <si>
    <t xml:space="preserve">Interest expense</t>
  </si>
  <si>
    <t xml:space="preserve">Interest income</t>
  </si>
  <si>
    <t xml:space="preserve">Profit before tax</t>
  </si>
  <si>
    <t xml:space="preserve">Tax</t>
  </si>
  <si>
    <t xml:space="preserve">Net income</t>
  </si>
  <si>
    <t xml:space="preserve">  Net margin (%)</t>
  </si>
  <si>
    <t xml:space="preserve">Dividends paid</t>
  </si>
  <si>
    <t xml:space="preserve">WORKING CAPITAL SCHEDULE</t>
  </si>
  <si>
    <t xml:space="preserve">Accounts receivable</t>
  </si>
  <si>
    <t xml:space="preserve">  DSO (days)</t>
  </si>
  <si>
    <t xml:space="preserve">Inventory</t>
  </si>
  <si>
    <t xml:space="preserve">  DIO (days)</t>
  </si>
  <si>
    <t xml:space="preserve">Other current assets</t>
  </si>
  <si>
    <t xml:space="preserve">Accounts payable</t>
  </si>
  <si>
    <t xml:space="preserve">  DPO (days)</t>
  </si>
  <si>
    <t xml:space="preserve">Accrued liabilities</t>
  </si>
  <si>
    <t xml:space="preserve">  Other current assets (% of revenue)</t>
  </si>
  <si>
    <t xml:space="preserve">  Accrued liabilities (% of revenue)</t>
  </si>
  <si>
    <t xml:space="preserve">  Deferred revenue (% of revenue)</t>
  </si>
  <si>
    <t xml:space="preserve">Deferred revenue</t>
  </si>
  <si>
    <t xml:space="preserve">Net working capital</t>
  </si>
  <si>
    <t xml:space="preserve">Change in net working capital</t>
  </si>
  <si>
    <t xml:space="preserve">Cash impact of working capital</t>
  </si>
  <si>
    <t xml:space="preserve">FIXED ASSET AND INTANGIBLE SCHEDULES</t>
  </si>
  <si>
    <t xml:space="preserve">Opening net PPE</t>
  </si>
  <si>
    <t xml:space="preserve">Capex</t>
  </si>
  <si>
    <t xml:space="preserve">  Depreciation (% of opening PPE)</t>
  </si>
  <si>
    <t xml:space="preserve">Closing net PPE</t>
  </si>
  <si>
    <t xml:space="preserve">  Capex (% of revenue) [historical check]</t>
  </si>
  <si>
    <t xml:space="preserve">Opening intangibles</t>
  </si>
  <si>
    <t xml:space="preserve">  Amortisation (% of opening intangibles)</t>
  </si>
  <si>
    <t xml:space="preserve">Amortisation charge</t>
  </si>
  <si>
    <t xml:space="preserve">Closing intangibles</t>
  </si>
  <si>
    <t xml:space="preserve">DEBT SCHEDULE</t>
  </si>
  <si>
    <t xml:space="preserve">Opening long-term debt</t>
  </si>
  <si>
    <t xml:space="preserve">Scheduled repayment</t>
  </si>
  <si>
    <t xml:space="preserve">  Interest rate on opening total debt (%)</t>
  </si>
  <si>
    <t xml:space="preserve">Closing long-term debt</t>
  </si>
  <si>
    <t xml:space="preserve">  Effective tax rate (%)</t>
  </si>
  <si>
    <t xml:space="preserve">Short-term debt</t>
  </si>
  <si>
    <t xml:space="preserve">Total debt</t>
  </si>
  <si>
    <t xml:space="preserve">CASH FLOW STATEMENT</t>
  </si>
  <si>
    <t xml:space="preserve">Add back: depreciation and amortisation</t>
  </si>
  <si>
    <t xml:space="preserve">Change in working capital</t>
  </si>
  <si>
    <t xml:space="preserve">Cash from operations</t>
  </si>
  <si>
    <t xml:space="preserve">Capital expenditure</t>
  </si>
  <si>
    <t xml:space="preserve">Cash from investing</t>
  </si>
  <si>
    <t xml:space="preserve">Debt repayment</t>
  </si>
  <si>
    <t xml:space="preserve">Cash from financing</t>
  </si>
  <si>
    <t xml:space="preserve">Other, including rounding</t>
  </si>
  <si>
    <t xml:space="preserve">Net change in cash</t>
  </si>
  <si>
    <t xml:space="preserve">Opening cash</t>
  </si>
  <si>
    <t xml:space="preserve">Closing cash</t>
  </si>
  <si>
    <t xml:space="preserve">  (memo) unlevered free cash flow</t>
  </si>
  <si>
    <t xml:space="preserve">BALANCE SHEET</t>
  </si>
  <si>
    <t xml:space="preserve">Cash</t>
  </si>
  <si>
    <t xml:space="preserve">Net property, plant and equipment</t>
  </si>
  <si>
    <t xml:space="preserve">Goodwill and intangibles</t>
  </si>
  <si>
    <t xml:space="preserve">Other assets</t>
  </si>
  <si>
    <t xml:space="preserve">Total assets</t>
  </si>
  <si>
    <t xml:space="preserve">Long-term debt</t>
  </si>
  <si>
    <t xml:space="preserve">Other liabilities</t>
  </si>
  <si>
    <t xml:space="preserve">Total liabilities</t>
  </si>
  <si>
    <t xml:space="preserve">Share capital</t>
  </si>
  <si>
    <t xml:space="preserve">Retained earnings</t>
  </si>
  <si>
    <t xml:space="preserve">Total equity</t>
  </si>
  <si>
    <t xml:space="preserve">Total liabilities and equity</t>
  </si>
  <si>
    <t xml:space="preserve">CHECKS  (every cell must read zero)</t>
  </si>
  <si>
    <t xml:space="preserve">1. Balance sheet: total assets less total liabilities and equity</t>
  </si>
  <si>
    <t xml:space="preserve">2. Cash link: balance sheet cash less cash flow closing cash (FY25 onwards)</t>
  </si>
  <si>
    <t xml:space="preserve">3. Debt link: balance sheet debt less debt schedule total debt</t>
  </si>
  <si>
    <t xml:space="preserve">MODEL OK?</t>
  </si>
  <si>
    <t xml:space="preserve">Why check 1 can be trusted: cash is NOT plugged in this model. It is built up from the cash flow</t>
  </si>
  <si>
    <t xml:space="preserve">statement, and the balance sheet is built from the schedules. If the two disagree, something is genuinely wrong.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</si>
</sst>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;\(0.0%\);\-"/>
    <numFmt numFmtId="166" formatCode="0.0"/>
    <numFmt numFmtId="167" formatCode="#,##0;\(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8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3" t="s">
        <v>17</v>
      </c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3" t="s">
        <v>19</v>
      </c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 t="s">
        <v>28</v>
      </c>
    </row>
    <row r="36" customFormat="false" ht="15" hidden="false" customHeight="false" outlineLevel="0" collapsed="false">
      <c r="A36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2"/>
  </cols>
  <sheetData>
    <row r="1" customFormat="false" ht="16.15" hidden="false" customHeight="false" outlineLevel="0" collapsed="false">
      <c r="A1" s="1" t="s">
        <v>30</v>
      </c>
    </row>
    <row r="2" customFormat="false" ht="15" hidden="false" customHeight="false" outlineLevel="0" collapsed="false">
      <c r="A2" s="4" t="s">
        <v>31</v>
      </c>
    </row>
    <row r="4" customFormat="false" ht="15" hidden="false" customHeight="false" outlineLevel="0" collapsed="false">
      <c r="A4" s="4" t="s">
        <v>32</v>
      </c>
    </row>
    <row r="5" customFormat="false" ht="15" hidden="false" customHeight="false" outlineLevel="0" collapsed="false">
      <c r="A5" s="4" t="s">
        <v>33</v>
      </c>
    </row>
    <row r="7" customFormat="false" ht="15" hidden="false" customHeight="false" outlineLevel="0" collapsed="false">
      <c r="A7" s="5" t="s">
        <v>34</v>
      </c>
      <c r="B7" s="6" t="s">
        <v>35</v>
      </c>
      <c r="C7" s="6" t="s">
        <v>36</v>
      </c>
      <c r="D7" s="6" t="s">
        <v>37</v>
      </c>
      <c r="E7" s="6" t="s">
        <v>38</v>
      </c>
      <c r="F7" s="6" t="s">
        <v>39</v>
      </c>
      <c r="G7" s="6" t="s">
        <v>40</v>
      </c>
    </row>
    <row r="8" customFormat="false" ht="15" hidden="false" customHeight="false" outlineLevel="0" collapsed="false">
      <c r="A8" s="7" t="s">
        <v>41</v>
      </c>
      <c r="B8" s="8" t="n">
        <f aca="false">Model!D7</f>
        <v>9207</v>
      </c>
      <c r="C8" s="9" t="n">
        <v>0.06</v>
      </c>
      <c r="D8" s="9" t="n">
        <v>0.055</v>
      </c>
      <c r="E8" s="9" t="n">
        <v>0.05</v>
      </c>
      <c r="F8" s="9" t="n">
        <v>0.045</v>
      </c>
      <c r="G8" s="9" t="n">
        <v>0.04</v>
      </c>
    </row>
    <row r="9" customFormat="false" ht="15" hidden="false" customHeight="false" outlineLevel="0" collapsed="false">
      <c r="A9" s="7" t="s">
        <v>42</v>
      </c>
      <c r="B9" s="8" t="n">
        <f aca="false">Model!D11</f>
        <v>0.42000651678071</v>
      </c>
      <c r="C9" s="9" t="n">
        <v>0.42</v>
      </c>
      <c r="D9" s="9" t="n">
        <v>0.42</v>
      </c>
      <c r="E9" s="9" t="n">
        <v>0.421</v>
      </c>
      <c r="F9" s="9" t="n">
        <v>0.421</v>
      </c>
      <c r="G9" s="9" t="n">
        <v>0.422</v>
      </c>
    </row>
    <row r="10" customFormat="false" ht="15" hidden="false" customHeight="false" outlineLevel="0" collapsed="false">
      <c r="A10" s="7" t="s">
        <v>43</v>
      </c>
      <c r="B10" s="8" t="n">
        <f aca="false">Model!D14</f>
        <v>0.135005973715651</v>
      </c>
      <c r="C10" s="9" t="n">
        <v>0.285</v>
      </c>
      <c r="D10" s="9" t="n">
        <v>0.285</v>
      </c>
      <c r="E10" s="9" t="n">
        <v>0.284</v>
      </c>
      <c r="F10" s="9" t="n">
        <v>0.284</v>
      </c>
      <c r="G10" s="9" t="n">
        <v>0.283</v>
      </c>
    </row>
    <row r="11" customFormat="false" ht="15" hidden="false" customHeight="false" outlineLevel="0" collapsed="false">
      <c r="A11" s="7" t="s">
        <v>44</v>
      </c>
      <c r="B11" s="8" t="n">
        <f aca="false">Model!D46</f>
        <v>0.0812466702184337</v>
      </c>
      <c r="C11" s="9" t="n">
        <v>0.08</v>
      </c>
      <c r="D11" s="9" t="n">
        <v>0.08</v>
      </c>
      <c r="E11" s="9" t="n">
        <v>0.08</v>
      </c>
      <c r="F11" s="9" t="n">
        <v>0.08</v>
      </c>
      <c r="G11" s="9" t="n">
        <v>0.08</v>
      </c>
    </row>
    <row r="12" customFormat="false" ht="15" hidden="false" customHeight="false" outlineLevel="0" collapsed="false">
      <c r="A12" s="7" t="s">
        <v>45</v>
      </c>
      <c r="B12" s="8" t="n">
        <f aca="false">Model!D53</f>
        <v>0.0588235294117647</v>
      </c>
      <c r="C12" s="9" t="n">
        <v>0.06</v>
      </c>
      <c r="D12" s="9" t="n">
        <v>0.06</v>
      </c>
      <c r="E12" s="9" t="n">
        <v>0.06</v>
      </c>
      <c r="F12" s="9" t="n">
        <v>0.06</v>
      </c>
      <c r="G12" s="9" t="n">
        <v>0.06</v>
      </c>
    </row>
    <row r="13" customFormat="false" ht="15" hidden="false" customHeight="false" outlineLevel="0" collapsed="false">
      <c r="A13" s="7" t="s">
        <v>46</v>
      </c>
      <c r="B13" s="8" t="n">
        <f aca="false">Model!D47</f>
        <v>3909</v>
      </c>
      <c r="C13" s="9" t="n">
        <v>0.05</v>
      </c>
      <c r="D13" s="9" t="n">
        <v>0.05</v>
      </c>
      <c r="E13" s="9" t="n">
        <v>0.049</v>
      </c>
      <c r="F13" s="9" t="n">
        <v>0.049</v>
      </c>
      <c r="G13" s="9" t="n">
        <v>0.048</v>
      </c>
    </row>
    <row r="14" customFormat="false" ht="15" hidden="false" customHeight="false" outlineLevel="0" collapsed="false">
      <c r="A14" s="7" t="s">
        <v>47</v>
      </c>
      <c r="B14" s="10" t="n">
        <f aca="false">Model!D28</f>
        <v>30.6446182252634</v>
      </c>
      <c r="C14" s="11" t="n">
        <v>30.6</v>
      </c>
      <c r="D14" s="11" t="n">
        <v>30.6</v>
      </c>
      <c r="E14" s="11" t="n">
        <v>30</v>
      </c>
      <c r="F14" s="11" t="n">
        <v>30</v>
      </c>
      <c r="G14" s="11" t="n">
        <v>30</v>
      </c>
    </row>
    <row r="15" customFormat="false" ht="15" hidden="false" customHeight="false" outlineLevel="0" collapsed="false">
      <c r="A15" s="7" t="s">
        <v>48</v>
      </c>
      <c r="B15" s="10" t="n">
        <f aca="false">Model!D30</f>
        <v>76.62265917603</v>
      </c>
      <c r="C15" s="11" t="n">
        <v>76.6</v>
      </c>
      <c r="D15" s="11" t="n">
        <v>76</v>
      </c>
      <c r="E15" s="11" t="n">
        <v>75</v>
      </c>
      <c r="F15" s="11" t="n">
        <v>75</v>
      </c>
      <c r="G15" s="11" t="n">
        <v>75</v>
      </c>
    </row>
    <row r="16" customFormat="false" ht="15" hidden="false" customHeight="false" outlineLevel="0" collapsed="false">
      <c r="A16" s="7" t="s">
        <v>49</v>
      </c>
      <c r="B16" s="10" t="n">
        <f aca="false">Model!D33</f>
        <v>51.0589887640449</v>
      </c>
      <c r="C16" s="11" t="n">
        <v>51.1</v>
      </c>
      <c r="D16" s="11" t="n">
        <v>51</v>
      </c>
      <c r="E16" s="11" t="n">
        <v>51</v>
      </c>
      <c r="F16" s="11" t="n">
        <v>51</v>
      </c>
      <c r="G16" s="11" t="n">
        <v>51</v>
      </c>
    </row>
    <row r="17" customFormat="false" ht="15" hidden="false" customHeight="false" outlineLevel="0" collapsed="false">
      <c r="A17" s="7" t="s">
        <v>50</v>
      </c>
      <c r="B17" s="8" t="n">
        <f aca="false">Model!D35</f>
        <v>0.0128163353969806</v>
      </c>
      <c r="C17" s="9" t="n">
        <v>0.0128</v>
      </c>
      <c r="D17" s="9" t="n">
        <v>0.0128</v>
      </c>
      <c r="E17" s="9" t="n">
        <v>0.0128</v>
      </c>
      <c r="F17" s="9" t="n">
        <v>0.0128</v>
      </c>
      <c r="G17" s="9" t="n">
        <v>0.0128</v>
      </c>
    </row>
    <row r="18" customFormat="false" ht="15" hidden="false" customHeight="false" outlineLevel="0" collapsed="false">
      <c r="A18" s="7" t="s">
        <v>51</v>
      </c>
      <c r="B18" s="8" t="n">
        <f aca="false">Model!D36</f>
        <v>0.0102096231128489</v>
      </c>
      <c r="C18" s="9" t="n">
        <v>0.0102</v>
      </c>
      <c r="D18" s="9" t="n">
        <v>0.0102</v>
      </c>
      <c r="E18" s="9" t="n">
        <v>0.0102</v>
      </c>
      <c r="F18" s="9" t="n">
        <v>0.0102</v>
      </c>
      <c r="G18" s="9" t="n">
        <v>0.0102</v>
      </c>
    </row>
    <row r="19" customFormat="false" ht="15" hidden="false" customHeight="false" outlineLevel="0" collapsed="false">
      <c r="A19" s="7" t="s">
        <v>52</v>
      </c>
      <c r="B19" s="8" t="n">
        <f aca="false">Model!D37</f>
        <v>0.0128163353969806</v>
      </c>
      <c r="C19" s="9" t="n">
        <v>0.0128</v>
      </c>
      <c r="D19" s="9" t="n">
        <v>0.0128</v>
      </c>
      <c r="E19" s="9" t="n">
        <v>0.0128</v>
      </c>
      <c r="F19" s="9" t="n">
        <v>0.0128</v>
      </c>
      <c r="G19" s="9" t="n">
        <v>0.0128</v>
      </c>
    </row>
    <row r="20" customFormat="false" ht="15" hidden="false" customHeight="false" outlineLevel="0" collapsed="false">
      <c r="A20" s="7" t="s">
        <v>53</v>
      </c>
      <c r="B20" s="8" t="n">
        <f aca="false">Model!D60</f>
        <v>0.100569259962049</v>
      </c>
      <c r="C20" s="9" t="n">
        <v>0.1</v>
      </c>
      <c r="D20" s="9" t="n">
        <v>0.1</v>
      </c>
      <c r="E20" s="9" t="n">
        <v>0.1</v>
      </c>
      <c r="F20" s="9" t="n">
        <v>0.1</v>
      </c>
      <c r="G20" s="9" t="n">
        <v>0.1</v>
      </c>
    </row>
    <row r="21" customFormat="false" ht="15" hidden="false" customHeight="false" outlineLevel="0" collapsed="false">
      <c r="A21" s="7" t="s">
        <v>54</v>
      </c>
      <c r="B21" s="8" t="n">
        <f aca="false">Model!D61</f>
        <v>2120</v>
      </c>
      <c r="C21" s="9" t="n">
        <v>0.024</v>
      </c>
      <c r="D21" s="9" t="n">
        <v>0.024</v>
      </c>
      <c r="E21" s="9" t="n">
        <v>0.024</v>
      </c>
      <c r="F21" s="9" t="n">
        <v>0.024</v>
      </c>
      <c r="G21" s="9" t="n">
        <v>0.024</v>
      </c>
    </row>
    <row r="22" customFormat="false" ht="15" hidden="false" customHeight="false" outlineLevel="0" collapsed="false">
      <c r="A22" s="7" t="s">
        <v>55</v>
      </c>
      <c r="B22" s="8" t="n">
        <f aca="false">Model!D62</f>
        <v>0.25</v>
      </c>
      <c r="C22" s="9" t="n">
        <v>0.25</v>
      </c>
      <c r="D22" s="9" t="n">
        <v>0.25</v>
      </c>
      <c r="E22" s="9" t="n">
        <v>0.25</v>
      </c>
      <c r="F22" s="9" t="n">
        <v>0.25</v>
      </c>
      <c r="G22" s="9" t="n">
        <v>0.25</v>
      </c>
    </row>
    <row r="23" customFormat="false" ht="15" hidden="false" customHeight="false" outlineLevel="0" collapsed="false">
      <c r="A23" s="7" t="s">
        <v>56</v>
      </c>
      <c r="B23" s="12" t="n">
        <v>223</v>
      </c>
      <c r="C23" s="12" t="n">
        <v>223</v>
      </c>
      <c r="D23" s="12" t="n">
        <v>223</v>
      </c>
      <c r="E23" s="12" t="n">
        <v>223</v>
      </c>
      <c r="F23" s="12" t="n">
        <v>223</v>
      </c>
      <c r="G23" s="12" t="n">
        <v>223</v>
      </c>
    </row>
    <row r="24" customFormat="false" ht="15" hidden="false" customHeight="false" outlineLevel="0" collapsed="false">
      <c r="A24" s="7" t="s">
        <v>57</v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</row>
    <row r="26" customFormat="false" ht="15" hidden="false" customHeight="false" outlineLevel="0" collapsed="false">
      <c r="A26" s="4" t="s">
        <v>58</v>
      </c>
    </row>
    <row r="27" customFormat="false" ht="15" hidden="false" customHeight="false" outlineLevel="0" collapsed="false">
      <c r="A27" s="4" t="s">
        <v>59</v>
      </c>
    </row>
    <row r="28" customFormat="false" ht="15" hidden="false" customHeight="false" outlineLevel="0" collapsed="false">
      <c r="A28" s="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2"/>
  </cols>
  <sheetData>
    <row r="1" customFormat="false" ht="16.15" hidden="false" customHeight="false" outlineLevel="0" collapsed="false">
      <c r="A1" s="1" t="s">
        <v>61</v>
      </c>
    </row>
    <row r="2" customFormat="false" ht="15" hidden="false" customHeight="false" outlineLevel="0" collapsed="false">
      <c r="A2" s="4" t="s">
        <v>62</v>
      </c>
    </row>
    <row r="3" customFormat="false" ht="15" hidden="false" customHeight="false" outlineLevel="0" collapsed="false">
      <c r="A3" s="4" t="s">
        <v>63</v>
      </c>
    </row>
    <row r="5" customFormat="false" ht="15" hidden="false" customHeight="false" outlineLevel="0" collapsed="false">
      <c r="A5" s="5" t="s">
        <v>64</v>
      </c>
      <c r="B5" s="6" t="s">
        <v>65</v>
      </c>
      <c r="C5" s="6" t="s">
        <v>66</v>
      </c>
      <c r="D5" s="6" t="s">
        <v>35</v>
      </c>
      <c r="E5" s="6" t="s">
        <v>36</v>
      </c>
      <c r="F5" s="6" t="s">
        <v>37</v>
      </c>
      <c r="G5" s="6" t="s">
        <v>38</v>
      </c>
      <c r="H5" s="6" t="s">
        <v>39</v>
      </c>
      <c r="I5" s="6" t="s">
        <v>40</v>
      </c>
    </row>
    <row r="6" customFormat="false" ht="15" hidden="false" customHeight="false" outlineLevel="0" collapsed="false">
      <c r="A6" s="13" t="s">
        <v>67</v>
      </c>
      <c r="B6" s="14"/>
      <c r="C6" s="14"/>
      <c r="D6" s="14"/>
      <c r="E6" s="14"/>
      <c r="F6" s="14"/>
      <c r="G6" s="14"/>
      <c r="H6" s="14"/>
      <c r="I6" s="14"/>
    </row>
    <row r="7" customFormat="false" ht="15" hidden="false" customHeight="false" outlineLevel="0" collapsed="false">
      <c r="A7" s="7" t="s">
        <v>68</v>
      </c>
      <c r="B7" s="12" t="n">
        <v>8249</v>
      </c>
      <c r="C7" s="12" t="n">
        <v>8671</v>
      </c>
      <c r="D7" s="12" t="n">
        <v>9207</v>
      </c>
      <c r="E7" s="15" t="n">
        <f aca="false">D7*(1+Assumptions!C8)</f>
        <v>9759.42</v>
      </c>
      <c r="F7" s="15" t="n">
        <f aca="false">E7*(1+Assumptions!D8)</f>
        <v>10296.1881</v>
      </c>
      <c r="G7" s="15" t="n">
        <f aca="false">F7*(1+Assumptions!E8)</f>
        <v>10810.997505</v>
      </c>
      <c r="H7" s="15" t="n">
        <f aca="false">G7*(1+Assumptions!F8)</f>
        <v>11297.492392725</v>
      </c>
      <c r="I7" s="15" t="n">
        <f aca="false">H7*(1+Assumptions!G8)</f>
        <v>11749.392088434</v>
      </c>
    </row>
    <row r="8" customFormat="false" ht="15" hidden="false" customHeight="false" outlineLevel="0" collapsed="false">
      <c r="A8" s="7" t="s">
        <v>69</v>
      </c>
      <c r="C8" s="16" t="n">
        <f aca="false">C7/B7-1</f>
        <v>0.0511577160867984</v>
      </c>
      <c r="D8" s="16" t="n">
        <f aca="false">D7/C7-1</f>
        <v>0.0618152462230424</v>
      </c>
      <c r="E8" s="16" t="n">
        <f aca="false">E7/D7-1</f>
        <v>0.0600000000000001</v>
      </c>
      <c r="F8" s="16" t="n">
        <f aca="false">F7/E7-1</f>
        <v>0.0549999999999999</v>
      </c>
      <c r="G8" s="16" t="n">
        <f aca="false">G7/F7-1</f>
        <v>0.05</v>
      </c>
      <c r="H8" s="16" t="n">
        <f aca="false">H7/G7-1</f>
        <v>0.0449999999999999</v>
      </c>
      <c r="I8" s="16" t="n">
        <f aca="false">I7/H7-1</f>
        <v>0.04</v>
      </c>
    </row>
    <row r="9" customFormat="false" ht="15" hidden="false" customHeight="false" outlineLevel="0" collapsed="false">
      <c r="A9" s="7" t="s">
        <v>70</v>
      </c>
      <c r="B9" s="12" t="n">
        <v>4784</v>
      </c>
      <c r="C9" s="12" t="n">
        <v>5029</v>
      </c>
      <c r="D9" s="12" t="n">
        <v>5340</v>
      </c>
      <c r="E9" s="15" t="n">
        <f aca="false">E7*(1-Assumptions!C9)</f>
        <v>5660.4636</v>
      </c>
      <c r="F9" s="15" t="n">
        <f aca="false">F7*(1-Assumptions!D9)</f>
        <v>5971.789098</v>
      </c>
      <c r="G9" s="15" t="n">
        <f aca="false">G7*(1-Assumptions!E9)</f>
        <v>6259.567555395</v>
      </c>
      <c r="H9" s="15" t="n">
        <f aca="false">H7*(1-Assumptions!F9)</f>
        <v>6541.24809538777</v>
      </c>
      <c r="I9" s="15" t="n">
        <f aca="false">I7*(1-Assumptions!G9)</f>
        <v>6791.14862711485</v>
      </c>
    </row>
    <row r="10" customFormat="false" ht="15" hidden="false" customHeight="false" outlineLevel="0" collapsed="false">
      <c r="A10" s="5" t="s">
        <v>71</v>
      </c>
      <c r="B10" s="17" t="n">
        <f aca="false">B7-B9</f>
        <v>3465</v>
      </c>
      <c r="C10" s="17" t="n">
        <f aca="false">C7-C9</f>
        <v>3642</v>
      </c>
      <c r="D10" s="17" t="n">
        <f aca="false">D7-D9</f>
        <v>3867</v>
      </c>
      <c r="E10" s="17" t="n">
        <f aca="false">E7-E9</f>
        <v>4098.9564</v>
      </c>
      <c r="F10" s="17" t="n">
        <f aca="false">F7-F9</f>
        <v>4324.399002</v>
      </c>
      <c r="G10" s="17" t="n">
        <f aca="false">G7-G9</f>
        <v>4551.429949605</v>
      </c>
      <c r="H10" s="17" t="n">
        <f aca="false">H7-H9</f>
        <v>4756.24429733722</v>
      </c>
      <c r="I10" s="17" t="n">
        <f aca="false">I7-I9</f>
        <v>4958.24346131915</v>
      </c>
    </row>
    <row r="11" customFormat="false" ht="15" hidden="false" customHeight="false" outlineLevel="0" collapsed="false">
      <c r="A11" s="7" t="s">
        <v>72</v>
      </c>
      <c r="B11" s="16" t="n">
        <f aca="false">B10/B7</f>
        <v>0.420050915262456</v>
      </c>
      <c r="C11" s="16" t="n">
        <f aca="false">C10/C7</f>
        <v>0.420020758851344</v>
      </c>
      <c r="D11" s="16" t="n">
        <f aca="false">D10/D7</f>
        <v>0.42000651678071</v>
      </c>
      <c r="E11" s="16" t="n">
        <f aca="false">E10/E7</f>
        <v>0.42</v>
      </c>
      <c r="F11" s="16" t="n">
        <f aca="false">F10/F7</f>
        <v>0.42</v>
      </c>
      <c r="G11" s="16" t="n">
        <f aca="false">G10/G7</f>
        <v>0.421</v>
      </c>
      <c r="H11" s="16" t="n">
        <f aca="false">H10/H7</f>
        <v>0.421</v>
      </c>
      <c r="I11" s="16" t="n">
        <f aca="false">I10/I7</f>
        <v>0.422</v>
      </c>
    </row>
    <row r="12" customFormat="false" ht="15" hidden="false" customHeight="false" outlineLevel="0" collapsed="false">
      <c r="A12" s="7" t="s">
        <v>73</v>
      </c>
      <c r="B12" s="12" t="n">
        <v>2351</v>
      </c>
      <c r="C12" s="12" t="n">
        <v>2471</v>
      </c>
      <c r="D12" s="12" t="n">
        <v>2624</v>
      </c>
      <c r="E12" s="15" t="n">
        <f aca="false">E7*Assumptions!C10</f>
        <v>2781.4347</v>
      </c>
      <c r="F12" s="15" t="n">
        <f aca="false">F7*Assumptions!D10</f>
        <v>2934.4136085</v>
      </c>
      <c r="G12" s="15" t="n">
        <f aca="false">G7*Assumptions!E10</f>
        <v>3070.32329142</v>
      </c>
      <c r="H12" s="15" t="n">
        <f aca="false">H7*Assumptions!F10</f>
        <v>3208.4878395339</v>
      </c>
      <c r="I12" s="15" t="n">
        <f aca="false">I7*Assumptions!G10</f>
        <v>3325.07796102682</v>
      </c>
    </row>
    <row r="13" customFormat="false" ht="15" hidden="false" customHeight="false" outlineLevel="0" collapsed="false">
      <c r="A13" s="5" t="s">
        <v>74</v>
      </c>
      <c r="B13" s="17" t="n">
        <f aca="false">B10-B12</f>
        <v>1114</v>
      </c>
      <c r="C13" s="17" t="n">
        <f aca="false">C10-C12</f>
        <v>1171</v>
      </c>
      <c r="D13" s="17" t="n">
        <f aca="false">D10-D12</f>
        <v>1243</v>
      </c>
      <c r="E13" s="17" t="n">
        <f aca="false">E10-E12</f>
        <v>1317.5217</v>
      </c>
      <c r="F13" s="17" t="n">
        <f aca="false">F10-F12</f>
        <v>1389.9853935</v>
      </c>
      <c r="G13" s="17" t="n">
        <f aca="false">G10-G12</f>
        <v>1481.106658185</v>
      </c>
      <c r="H13" s="17" t="n">
        <f aca="false">H10-H12</f>
        <v>1547.75645780333</v>
      </c>
      <c r="I13" s="17" t="n">
        <f aca="false">I10-I12</f>
        <v>1633.16550029232</v>
      </c>
    </row>
    <row r="14" customFormat="false" ht="15" hidden="false" customHeight="false" outlineLevel="0" collapsed="false">
      <c r="A14" s="7" t="s">
        <v>75</v>
      </c>
      <c r="B14" s="16" t="n">
        <f aca="false">B13/B7</f>
        <v>0.135046672323918</v>
      </c>
      <c r="C14" s="16" t="n">
        <f aca="false">C13/C7</f>
        <v>0.135047860685042</v>
      </c>
      <c r="D14" s="16" t="n">
        <f aca="false">D13/D7</f>
        <v>0.135005973715651</v>
      </c>
      <c r="E14" s="16" t="n">
        <f aca="false">E13/E7</f>
        <v>0.135</v>
      </c>
      <c r="F14" s="16" t="n">
        <f aca="false">F13/F7</f>
        <v>0.135</v>
      </c>
      <c r="G14" s="16" t="n">
        <f aca="false">G13/G7</f>
        <v>0.137</v>
      </c>
      <c r="H14" s="16" t="n">
        <f aca="false">H13/H7</f>
        <v>0.137</v>
      </c>
      <c r="I14" s="16" t="n">
        <f aca="false">I13/I7</f>
        <v>0.139</v>
      </c>
    </row>
    <row r="15" customFormat="false" ht="15" hidden="false" customHeight="false" outlineLevel="0" collapsed="false">
      <c r="A15" s="7" t="s">
        <v>76</v>
      </c>
      <c r="B15" s="12" t="n">
        <v>284</v>
      </c>
      <c r="C15" s="12" t="n">
        <v>293</v>
      </c>
      <c r="D15" s="12" t="n">
        <v>305</v>
      </c>
      <c r="E15" s="15" t="n">
        <f aca="false">E48</f>
        <v>312.72</v>
      </c>
      <c r="F15" s="15" t="n">
        <f aca="false">F48</f>
        <v>326.74008</v>
      </c>
      <c r="G15" s="15" t="n">
        <f aca="false">G48</f>
        <v>341.785626</v>
      </c>
      <c r="H15" s="15" t="n">
        <f aca="false">H48</f>
        <v>356.8218861396</v>
      </c>
      <c r="I15" s="15" t="n">
        <f aca="false">I48</f>
        <v>372.562305427914</v>
      </c>
    </row>
    <row r="16" customFormat="false" ht="15" hidden="false" customHeight="false" outlineLevel="0" collapsed="false">
      <c r="A16" s="7" t="s">
        <v>77</v>
      </c>
      <c r="B16" s="12" t="n">
        <v>8</v>
      </c>
      <c r="C16" s="12" t="n">
        <v>7</v>
      </c>
      <c r="D16" s="12" t="n">
        <v>7</v>
      </c>
      <c r="E16" s="15" t="n">
        <f aca="false">E54</f>
        <v>6.72</v>
      </c>
      <c r="F16" s="15" t="n">
        <f aca="false">F54</f>
        <v>6.3168</v>
      </c>
      <c r="G16" s="15" t="n">
        <f aca="false">G54</f>
        <v>5.937792</v>
      </c>
      <c r="H16" s="15" t="n">
        <f aca="false">H54</f>
        <v>5.58152448</v>
      </c>
      <c r="I16" s="15" t="n">
        <f aca="false">I54</f>
        <v>5.2466330112</v>
      </c>
    </row>
    <row r="17" customFormat="false" ht="15" hidden="false" customHeight="false" outlineLevel="0" collapsed="false">
      <c r="A17" s="5" t="s">
        <v>78</v>
      </c>
      <c r="B17" s="17" t="n">
        <f aca="false">B13-B15-B16</f>
        <v>822</v>
      </c>
      <c r="C17" s="17" t="n">
        <f aca="false">C13-C15-C16</f>
        <v>871</v>
      </c>
      <c r="D17" s="17" t="n">
        <f aca="false">D13-D15-D16</f>
        <v>931</v>
      </c>
      <c r="E17" s="17" t="n">
        <f aca="false">E13-E15-E16</f>
        <v>998.081699999999</v>
      </c>
      <c r="F17" s="17" t="n">
        <f aca="false">F13-F15-F16</f>
        <v>1056.9285135</v>
      </c>
      <c r="G17" s="17" t="n">
        <f aca="false">G13-G15-G16</f>
        <v>1133.383240185</v>
      </c>
      <c r="H17" s="17" t="n">
        <f aca="false">H13-H15-H16</f>
        <v>1185.35304718373</v>
      </c>
      <c r="I17" s="17" t="n">
        <f aca="false">I13-I15-I16</f>
        <v>1255.35656185321</v>
      </c>
    </row>
    <row r="18" customFormat="false" ht="15" hidden="false" customHeight="false" outlineLevel="0" collapsed="false">
      <c r="A18" s="7" t="s">
        <v>79</v>
      </c>
      <c r="B18" s="12" t="n">
        <v>312</v>
      </c>
      <c r="C18" s="12" t="n">
        <v>288</v>
      </c>
      <c r="D18" s="12" t="n">
        <v>265</v>
      </c>
      <c r="E18" s="15" t="n">
        <f aca="false">D64*Assumptions!C20</f>
        <v>241.2</v>
      </c>
      <c r="F18" s="15" t="n">
        <f aca="false">E64*Assumptions!D20</f>
        <v>218.9</v>
      </c>
      <c r="G18" s="15" t="n">
        <f aca="false">F64*Assumptions!E20</f>
        <v>196.6</v>
      </c>
      <c r="H18" s="15" t="n">
        <f aca="false">G64*Assumptions!F20</f>
        <v>174.3</v>
      </c>
      <c r="I18" s="15" t="n">
        <f aca="false">H64*Assumptions!G20</f>
        <v>152</v>
      </c>
    </row>
    <row r="19" customFormat="false" ht="15" hidden="false" customHeight="false" outlineLevel="0" collapsed="false">
      <c r="A19" s="7" t="s">
        <v>80</v>
      </c>
      <c r="B19" s="12" t="n">
        <v>82</v>
      </c>
      <c r="C19" s="12" t="n">
        <v>83</v>
      </c>
      <c r="D19" s="12" t="n">
        <v>86</v>
      </c>
      <c r="E19" s="15" t="n">
        <f aca="false">D82*Assumptions!C21</f>
        <v>87.864</v>
      </c>
      <c r="F19" s="15" t="n">
        <f aca="false">E82*Assumptions!D21</f>
        <v>92.2063277086027</v>
      </c>
      <c r="G19" s="15" t="n">
        <f aca="false">F82*Assumptions!E21</f>
        <v>97.9622177435937</v>
      </c>
      <c r="H19" s="15" t="n">
        <f aca="false">G82*Assumptions!F21</f>
        <v>106.322509154861</v>
      </c>
      <c r="I19" s="15" t="n">
        <f aca="false">H82*Assumptions!G21</f>
        <v>115.210017726174</v>
      </c>
    </row>
    <row r="20" customFormat="false" ht="15" hidden="false" customHeight="false" outlineLevel="0" collapsed="false">
      <c r="A20" s="5" t="s">
        <v>81</v>
      </c>
      <c r="B20" s="17" t="n">
        <f aca="false">B17-B18+B19</f>
        <v>592</v>
      </c>
      <c r="C20" s="17" t="n">
        <f aca="false">C17-C18+C19</f>
        <v>666</v>
      </c>
      <c r="D20" s="17" t="n">
        <f aca="false">D17-D18+D19</f>
        <v>752</v>
      </c>
      <c r="E20" s="17" t="n">
        <f aca="false">E17-E18+E19</f>
        <v>844.745699999999</v>
      </c>
      <c r="F20" s="17" t="n">
        <f aca="false">F17-F18+F19</f>
        <v>930.234841208602</v>
      </c>
      <c r="G20" s="17" t="n">
        <f aca="false">G17-G18+G19</f>
        <v>1034.74545792859</v>
      </c>
      <c r="H20" s="17" t="n">
        <f aca="false">H17-H18+H19</f>
        <v>1117.37555633859</v>
      </c>
      <c r="I20" s="17" t="n">
        <f aca="false">I17-I18+I19</f>
        <v>1218.56657957939</v>
      </c>
    </row>
    <row r="21" customFormat="false" ht="15" hidden="false" customHeight="false" outlineLevel="0" collapsed="false">
      <c r="A21" s="7" t="s">
        <v>82</v>
      </c>
      <c r="B21" s="12" t="n">
        <v>148</v>
      </c>
      <c r="C21" s="12" t="n">
        <v>166</v>
      </c>
      <c r="D21" s="12" t="n">
        <v>188</v>
      </c>
      <c r="E21" s="15" t="n">
        <f aca="false">MAX(E20,0)*Assumptions!C22</f>
        <v>211.186425</v>
      </c>
      <c r="F21" s="15" t="n">
        <f aca="false">MAX(F20,0)*Assumptions!D22</f>
        <v>232.558710302151</v>
      </c>
      <c r="G21" s="15" t="n">
        <f aca="false">MAX(G20,0)*Assumptions!E22</f>
        <v>258.686364482149</v>
      </c>
      <c r="H21" s="15" t="n">
        <f aca="false">MAX(H20,0)*Assumptions!F22</f>
        <v>279.343889084647</v>
      </c>
      <c r="I21" s="15" t="n">
        <f aca="false">MAX(I20,0)*Assumptions!G22</f>
        <v>304.641644894846</v>
      </c>
    </row>
    <row r="22" customFormat="false" ht="15" hidden="false" customHeight="false" outlineLevel="0" collapsed="false">
      <c r="A22" s="5" t="s">
        <v>83</v>
      </c>
      <c r="B22" s="17" t="n">
        <f aca="false">B20-B21</f>
        <v>444</v>
      </c>
      <c r="C22" s="17" t="n">
        <f aca="false">C20-C21</f>
        <v>500</v>
      </c>
      <c r="D22" s="17" t="n">
        <f aca="false">D20-D21</f>
        <v>564</v>
      </c>
      <c r="E22" s="17" t="n">
        <f aca="false">E20-E21</f>
        <v>633.559274999999</v>
      </c>
      <c r="F22" s="17" t="n">
        <f aca="false">F20-F21</f>
        <v>697.676130906452</v>
      </c>
      <c r="G22" s="17" t="n">
        <f aca="false">G20-G21</f>
        <v>776.059093446446</v>
      </c>
      <c r="H22" s="17" t="n">
        <f aca="false">H20-H21</f>
        <v>838.03166725394</v>
      </c>
      <c r="I22" s="17" t="n">
        <f aca="false">I20-I21</f>
        <v>913.924934684539</v>
      </c>
    </row>
    <row r="23" customFormat="false" ht="15" hidden="false" customHeight="false" outlineLevel="0" collapsed="false">
      <c r="A23" s="7" t="s">
        <v>84</v>
      </c>
      <c r="B23" s="16" t="n">
        <f aca="false">B22/B7</f>
        <v>0.0538247060249727</v>
      </c>
      <c r="C23" s="16" t="n">
        <f aca="false">C22/C7</f>
        <v>0.0576634759543305</v>
      </c>
      <c r="D23" s="16" t="n">
        <f aca="false">D22/D7</f>
        <v>0.0612577386770935</v>
      </c>
      <c r="E23" s="16" t="n">
        <f aca="false">E22/E7</f>
        <v>0.0649177179586491</v>
      </c>
      <c r="F23" s="16" t="n">
        <f aca="false">F22/F7</f>
        <v>0.0677606240416734</v>
      </c>
      <c r="G23" s="16" t="n">
        <f aca="false">G22/G7</f>
        <v>0.0717842264867349</v>
      </c>
      <c r="H23" s="16" t="n">
        <f aca="false">H22/H7</f>
        <v>0.0741785555698705</v>
      </c>
      <c r="I23" s="16" t="n">
        <f aca="false">I22/I7</f>
        <v>0.0777848698729017</v>
      </c>
    </row>
    <row r="24" customFormat="false" ht="15" hidden="false" customHeight="false" outlineLevel="0" collapsed="false">
      <c r="A24" s="7" t="s">
        <v>85</v>
      </c>
      <c r="B24" s="12" t="n">
        <v>0</v>
      </c>
      <c r="C24" s="12" t="n">
        <v>0</v>
      </c>
      <c r="D24" s="12" t="n">
        <v>0</v>
      </c>
      <c r="E24" s="15" t="n">
        <f aca="false">MAX(E22,0)*Assumptions!C24</f>
        <v>0</v>
      </c>
      <c r="F24" s="15" t="n">
        <f aca="false">MAX(F22,0)*Assumptions!D24</f>
        <v>0</v>
      </c>
      <c r="G24" s="15" t="n">
        <f aca="false">MAX(G22,0)*Assumptions!E24</f>
        <v>0</v>
      </c>
      <c r="H24" s="15" t="n">
        <f aca="false">MAX(H22,0)*Assumptions!F24</f>
        <v>0</v>
      </c>
      <c r="I24" s="15" t="n">
        <f aca="false">MAX(I22,0)*Assumptions!G24</f>
        <v>0</v>
      </c>
    </row>
    <row r="26" customFormat="false" ht="15" hidden="false" customHeight="false" outlineLevel="0" collapsed="false">
      <c r="A26" s="13" t="s">
        <v>86</v>
      </c>
      <c r="B26" s="14"/>
      <c r="C26" s="14"/>
      <c r="D26" s="14"/>
      <c r="E26" s="14"/>
      <c r="F26" s="14"/>
      <c r="G26" s="14"/>
      <c r="H26" s="14"/>
      <c r="I26" s="14"/>
    </row>
    <row r="27" customFormat="false" ht="15" hidden="false" customHeight="false" outlineLevel="0" collapsed="false">
      <c r="A27" s="7" t="s">
        <v>87</v>
      </c>
      <c r="B27" s="12" t="n">
        <v>730</v>
      </c>
      <c r="C27" s="12" t="n">
        <v>726</v>
      </c>
      <c r="D27" s="12" t="n">
        <v>773</v>
      </c>
      <c r="E27" s="15" t="n">
        <f aca="false">Assumptions!C14/365*E7</f>
        <v>818.186991780822</v>
      </c>
      <c r="F27" s="15" t="n">
        <f aca="false">Assumptions!D14/365*F7</f>
        <v>863.187276328767</v>
      </c>
      <c r="G27" s="15" t="n">
        <f aca="false">Assumptions!E14/365*G7</f>
        <v>888.57513739726</v>
      </c>
      <c r="H27" s="15" t="n">
        <f aca="false">Assumptions!F14/365*H7</f>
        <v>928.561018580137</v>
      </c>
      <c r="I27" s="15" t="n">
        <f aca="false">Assumptions!G14/365*I7</f>
        <v>965.703459323342</v>
      </c>
    </row>
    <row r="28" customFormat="false" ht="15" hidden="false" customHeight="false" outlineLevel="0" collapsed="false">
      <c r="A28" s="7" t="s">
        <v>88</v>
      </c>
      <c r="B28" s="18" t="n">
        <f aca="false">B27/B7*365</f>
        <v>32.3008849557522</v>
      </c>
      <c r="C28" s="18" t="n">
        <f aca="false">C27/C7*365</f>
        <v>30.5604889862761</v>
      </c>
      <c r="D28" s="18" t="n">
        <f aca="false">D27/D7*365</f>
        <v>30.6446182252634</v>
      </c>
      <c r="E28" s="18" t="n">
        <f aca="false">E27/E7*365</f>
        <v>30.6</v>
      </c>
      <c r="F28" s="18" t="n">
        <f aca="false">F27/F7*365</f>
        <v>30.6</v>
      </c>
      <c r="G28" s="18" t="n">
        <f aca="false">G27/G7*365</f>
        <v>30</v>
      </c>
      <c r="H28" s="18" t="n">
        <f aca="false">H27/H7*365</f>
        <v>30</v>
      </c>
      <c r="I28" s="18" t="n">
        <f aca="false">I27/I7*365</f>
        <v>30</v>
      </c>
    </row>
    <row r="29" customFormat="false" ht="15" hidden="false" customHeight="false" outlineLevel="0" collapsed="false">
      <c r="A29" s="7" t="s">
        <v>89</v>
      </c>
      <c r="B29" s="12" t="n">
        <v>1058</v>
      </c>
      <c r="C29" s="12" t="n">
        <v>1053</v>
      </c>
      <c r="D29" s="12" t="n">
        <v>1121</v>
      </c>
      <c r="E29" s="15" t="n">
        <f aca="false">Assumptions!C15/365*E9</f>
        <v>1187.9219500274</v>
      </c>
      <c r="F29" s="15" t="n">
        <f aca="false">Assumptions!D15/365*F9</f>
        <v>1243.44101766575</v>
      </c>
      <c r="G29" s="15" t="n">
        <f aca="false">Assumptions!E15/365*G9</f>
        <v>1286.21251138253</v>
      </c>
      <c r="H29" s="15" t="n">
        <f aca="false">Assumptions!F15/365*H9</f>
        <v>1344.09207439475</v>
      </c>
      <c r="I29" s="15" t="n">
        <f aca="false">Assumptions!G15/365*I9</f>
        <v>1395.44149872223</v>
      </c>
    </row>
    <row r="30" customFormat="false" ht="15" hidden="false" customHeight="false" outlineLevel="0" collapsed="false">
      <c r="A30" s="7" t="s">
        <v>90</v>
      </c>
      <c r="B30" s="18" t="n">
        <f aca="false">B29/B9*365</f>
        <v>80.7211538461538</v>
      </c>
      <c r="C30" s="18" t="n">
        <f aca="false">C29/C9*365</f>
        <v>76.4257307615828</v>
      </c>
      <c r="D30" s="18" t="n">
        <f aca="false">D29/D9*365</f>
        <v>76.62265917603</v>
      </c>
      <c r="E30" s="18" t="n">
        <f aca="false">E29/E9*365</f>
        <v>76.6</v>
      </c>
      <c r="F30" s="18" t="n">
        <f aca="false">F29/F9*365</f>
        <v>76</v>
      </c>
      <c r="G30" s="18" t="n">
        <f aca="false">G29/G9*365</f>
        <v>75</v>
      </c>
      <c r="H30" s="18" t="n">
        <f aca="false">H29/H9*365</f>
        <v>75</v>
      </c>
      <c r="I30" s="18" t="n">
        <f aca="false">I29/I9*365</f>
        <v>75</v>
      </c>
    </row>
    <row r="31" customFormat="false" ht="15" hidden="false" customHeight="false" outlineLevel="0" collapsed="false">
      <c r="A31" s="7" t="s">
        <v>91</v>
      </c>
      <c r="B31" s="12" t="n">
        <v>111</v>
      </c>
      <c r="C31" s="12" t="n">
        <v>110</v>
      </c>
      <c r="D31" s="12" t="n">
        <v>118</v>
      </c>
      <c r="E31" s="15" t="n">
        <f aca="false">E7*Assumptions!C17</f>
        <v>124.920576</v>
      </c>
      <c r="F31" s="15" t="n">
        <f aca="false">F7*Assumptions!D17</f>
        <v>131.79120768</v>
      </c>
      <c r="G31" s="15" t="n">
        <f aca="false">G7*Assumptions!E17</f>
        <v>138.380768064</v>
      </c>
      <c r="H31" s="15" t="n">
        <f aca="false">H7*Assumptions!F17</f>
        <v>144.60790262688</v>
      </c>
      <c r="I31" s="15" t="n">
        <f aca="false">I7*Assumptions!G17</f>
        <v>150.392218731955</v>
      </c>
    </row>
    <row r="32" customFormat="false" ht="15" hidden="false" customHeight="false" outlineLevel="0" collapsed="false">
      <c r="A32" s="7" t="s">
        <v>92</v>
      </c>
      <c r="B32" s="12" t="n">
        <v>705</v>
      </c>
      <c r="C32" s="12" t="n">
        <v>702</v>
      </c>
      <c r="D32" s="12" t="n">
        <v>747</v>
      </c>
      <c r="E32" s="15" t="n">
        <f aca="false">Assumptions!C16/365*E9</f>
        <v>792.464904</v>
      </c>
      <c r="F32" s="15" t="n">
        <f aca="false">Assumptions!D16/365*F9</f>
        <v>834.414367117808</v>
      </c>
      <c r="G32" s="15" t="n">
        <f aca="false">Assumptions!E16/365*G9</f>
        <v>874.624507740123</v>
      </c>
      <c r="H32" s="15" t="n">
        <f aca="false">Assumptions!F16/365*H9</f>
        <v>913.982610588429</v>
      </c>
      <c r="I32" s="15" t="n">
        <f aca="false">Assumptions!G16/365*I9</f>
        <v>948.900219131116</v>
      </c>
    </row>
    <row r="33" customFormat="false" ht="15" hidden="false" customHeight="false" outlineLevel="0" collapsed="false">
      <c r="A33" s="7" t="s">
        <v>93</v>
      </c>
      <c r="B33" s="18" t="n">
        <f aca="false">B32/B9*365</f>
        <v>53.7886705685619</v>
      </c>
      <c r="C33" s="18" t="n">
        <f aca="false">C32/C9*365</f>
        <v>50.9504871743885</v>
      </c>
      <c r="D33" s="18" t="n">
        <f aca="false">D32/D9*365</f>
        <v>51.0589887640449</v>
      </c>
      <c r="E33" s="18" t="n">
        <f aca="false">E32/E9*365</f>
        <v>51.1</v>
      </c>
      <c r="F33" s="18" t="n">
        <f aca="false">F32/F9*365</f>
        <v>51</v>
      </c>
      <c r="G33" s="18" t="n">
        <f aca="false">G32/G9*365</f>
        <v>51</v>
      </c>
      <c r="H33" s="18" t="n">
        <f aca="false">H32/H9*365</f>
        <v>51</v>
      </c>
      <c r="I33" s="18" t="n">
        <f aca="false">I32/I9*365</f>
        <v>51</v>
      </c>
    </row>
    <row r="34" customFormat="false" ht="15" hidden="false" customHeight="false" outlineLevel="0" collapsed="false">
      <c r="A34" s="7" t="s">
        <v>94</v>
      </c>
      <c r="B34" s="12" t="n">
        <v>89</v>
      </c>
      <c r="C34" s="12" t="n">
        <v>88</v>
      </c>
      <c r="D34" s="12" t="n">
        <v>94</v>
      </c>
      <c r="E34" s="15" t="n">
        <f aca="false">E7*Assumptions!C18</f>
        <v>99.546084</v>
      </c>
      <c r="F34" s="15" t="n">
        <f aca="false">F7*Assumptions!D18</f>
        <v>105.02111862</v>
      </c>
      <c r="G34" s="15" t="n">
        <f aca="false">G7*Assumptions!E18</f>
        <v>110.272174551</v>
      </c>
      <c r="H34" s="15" t="n">
        <f aca="false">H7*Assumptions!F18</f>
        <v>115.234422405795</v>
      </c>
      <c r="I34" s="15" t="n">
        <f aca="false">I7*Assumptions!G18</f>
        <v>119.843799302027</v>
      </c>
    </row>
    <row r="35" customFormat="false" ht="15" hidden="false" customHeight="false" outlineLevel="0" collapsed="false">
      <c r="A35" s="7" t="s">
        <v>95</v>
      </c>
      <c r="B35" s="16" t="n">
        <f aca="false">B31/B7</f>
        <v>0.0134561765062432</v>
      </c>
      <c r="C35" s="16" t="n">
        <f aca="false">C31/C7</f>
        <v>0.0126859647099527</v>
      </c>
      <c r="D35" s="16" t="n">
        <f aca="false">D31/D7</f>
        <v>0.0128163353969806</v>
      </c>
      <c r="E35" s="16" t="n">
        <f aca="false">E31/E7</f>
        <v>0.0128</v>
      </c>
      <c r="F35" s="16" t="n">
        <f aca="false">F31/F7</f>
        <v>0.0128</v>
      </c>
      <c r="G35" s="16" t="n">
        <f aca="false">G31/G7</f>
        <v>0.0128</v>
      </c>
      <c r="H35" s="16" t="n">
        <f aca="false">H31/H7</f>
        <v>0.0128</v>
      </c>
      <c r="I35" s="16" t="n">
        <f aca="false">I31/I7</f>
        <v>0.0128</v>
      </c>
    </row>
    <row r="36" customFormat="false" ht="15" hidden="false" customHeight="false" outlineLevel="0" collapsed="false">
      <c r="A36" s="7" t="s">
        <v>96</v>
      </c>
      <c r="B36" s="16" t="n">
        <f aca="false">B34/B7</f>
        <v>0.0107891865680689</v>
      </c>
      <c r="C36" s="16" t="n">
        <f aca="false">C34/C7</f>
        <v>0.0101487717679622</v>
      </c>
      <c r="D36" s="16" t="n">
        <f aca="false">D34/D7</f>
        <v>0.0102096231128489</v>
      </c>
      <c r="E36" s="16" t="n">
        <f aca="false">E34/E7</f>
        <v>0.0102</v>
      </c>
      <c r="F36" s="16" t="n">
        <f aca="false">F34/F7</f>
        <v>0.0102</v>
      </c>
      <c r="G36" s="16" t="n">
        <f aca="false">G34/G7</f>
        <v>0.0102</v>
      </c>
      <c r="H36" s="16" t="n">
        <f aca="false">H34/H7</f>
        <v>0.0102</v>
      </c>
      <c r="I36" s="16" t="n">
        <f aca="false">I34/I7</f>
        <v>0.0102</v>
      </c>
    </row>
    <row r="37" customFormat="false" ht="15" hidden="false" customHeight="false" outlineLevel="0" collapsed="false">
      <c r="A37" s="7" t="s">
        <v>97</v>
      </c>
      <c r="B37" s="16" t="n">
        <f aca="false">B38/B7</f>
        <v>0.0134561765062432</v>
      </c>
      <c r="C37" s="16" t="n">
        <f aca="false">C38/C7</f>
        <v>0.0126859647099527</v>
      </c>
      <c r="D37" s="16" t="n">
        <f aca="false">D38/D7</f>
        <v>0.0128163353969806</v>
      </c>
      <c r="E37" s="16" t="n">
        <f aca="false">E38/E7</f>
        <v>0.0128</v>
      </c>
      <c r="F37" s="16" t="n">
        <f aca="false">F38/F7</f>
        <v>0.0128</v>
      </c>
      <c r="G37" s="16" t="n">
        <f aca="false">G38/G7</f>
        <v>0.0128</v>
      </c>
      <c r="H37" s="16" t="n">
        <f aca="false">H38/H7</f>
        <v>0.0128</v>
      </c>
      <c r="I37" s="16" t="n">
        <f aca="false">I38/I7</f>
        <v>0.0128</v>
      </c>
    </row>
    <row r="38" customFormat="false" ht="15" hidden="false" customHeight="false" outlineLevel="0" collapsed="false">
      <c r="A38" s="7" t="s">
        <v>98</v>
      </c>
      <c r="B38" s="12" t="n">
        <v>111</v>
      </c>
      <c r="C38" s="12" t="n">
        <v>110</v>
      </c>
      <c r="D38" s="12" t="n">
        <v>118</v>
      </c>
      <c r="E38" s="15" t="n">
        <f aca="false">E7*Assumptions!C19</f>
        <v>124.920576</v>
      </c>
      <c r="F38" s="15" t="n">
        <f aca="false">F7*Assumptions!D19</f>
        <v>131.79120768</v>
      </c>
      <c r="G38" s="15" t="n">
        <f aca="false">G7*Assumptions!E19</f>
        <v>138.380768064</v>
      </c>
      <c r="H38" s="15" t="n">
        <f aca="false">H7*Assumptions!F19</f>
        <v>144.60790262688</v>
      </c>
      <c r="I38" s="15" t="n">
        <f aca="false">I7*Assumptions!G19</f>
        <v>150.392218731955</v>
      </c>
    </row>
    <row r="39" customFormat="false" ht="15" hidden="false" customHeight="false" outlineLevel="0" collapsed="false">
      <c r="A39" s="5" t="s">
        <v>99</v>
      </c>
      <c r="B39" s="17" t="n">
        <f aca="false">B27+B29+B31-B32-B34-B38</f>
        <v>994</v>
      </c>
      <c r="C39" s="17" t="n">
        <f aca="false">C27+C29+C31-C32-C34-C38</f>
        <v>989</v>
      </c>
      <c r="D39" s="17" t="n">
        <f aca="false">D27+D29+D31-D32-D34-D38</f>
        <v>1053</v>
      </c>
      <c r="E39" s="17" t="n">
        <f aca="false">E27+E29+E31-E32-E34-E38</f>
        <v>1114.09795380822</v>
      </c>
      <c r="F39" s="17" t="n">
        <f aca="false">F27+F29+F31-F32-F34-F38</f>
        <v>1167.19280825671</v>
      </c>
      <c r="G39" s="17" t="n">
        <f aca="false">G27+G29+G31-G32-G34-G38</f>
        <v>1189.89096648867</v>
      </c>
      <c r="H39" s="17" t="n">
        <f aca="false">H27+H29+H31-H32-H34-H38</f>
        <v>1243.43605998066</v>
      </c>
      <c r="I39" s="17" t="n">
        <f aca="false">I27+I29+I31-I32-I34-I38</f>
        <v>1292.40093961243</v>
      </c>
    </row>
    <row r="40" customFormat="false" ht="15" hidden="false" customHeight="false" outlineLevel="0" collapsed="false">
      <c r="A40" s="7" t="s">
        <v>100</v>
      </c>
      <c r="C40" s="15" t="n">
        <f aca="false">C39-B39</f>
        <v>-5</v>
      </c>
      <c r="D40" s="15" t="n">
        <f aca="false">D39-C39</f>
        <v>64</v>
      </c>
      <c r="E40" s="15" t="n">
        <f aca="false">E39-D39</f>
        <v>61.097953808219</v>
      </c>
      <c r="F40" s="15" t="n">
        <f aca="false">F39-E39</f>
        <v>53.0948544484929</v>
      </c>
      <c r="G40" s="15" t="n">
        <f aca="false">G39-F39</f>
        <v>22.698158231959</v>
      </c>
      <c r="H40" s="15" t="n">
        <f aca="false">H39-G39</f>
        <v>53.54509349199</v>
      </c>
      <c r="I40" s="15" t="n">
        <f aca="false">I39-H39</f>
        <v>48.9648796317679</v>
      </c>
    </row>
    <row r="41" customFormat="false" ht="15" hidden="false" customHeight="false" outlineLevel="0" collapsed="false">
      <c r="A41" s="7" t="s">
        <v>101</v>
      </c>
      <c r="C41" s="15" t="n">
        <f aca="false">-C40</f>
        <v>5</v>
      </c>
      <c r="D41" s="15" t="n">
        <f aca="false">-D40</f>
        <v>-64</v>
      </c>
      <c r="E41" s="15" t="n">
        <f aca="false">-E40</f>
        <v>-61.097953808219</v>
      </c>
      <c r="F41" s="15" t="n">
        <f aca="false">-F40</f>
        <v>-53.0948544484929</v>
      </c>
      <c r="G41" s="15" t="n">
        <f aca="false">-G40</f>
        <v>-22.698158231959</v>
      </c>
      <c r="H41" s="15" t="n">
        <f aca="false">-H40</f>
        <v>-53.54509349199</v>
      </c>
      <c r="I41" s="15" t="n">
        <f aca="false">-I40</f>
        <v>-48.9648796317679</v>
      </c>
    </row>
    <row r="43" customFormat="false" ht="15" hidden="false" customHeight="false" outlineLevel="0" collapsed="false">
      <c r="A43" s="13" t="s">
        <v>102</v>
      </c>
      <c r="B43" s="14"/>
      <c r="C43" s="14"/>
      <c r="D43" s="14"/>
      <c r="E43" s="14"/>
      <c r="F43" s="14"/>
      <c r="G43" s="14"/>
      <c r="H43" s="14"/>
      <c r="I43" s="14"/>
    </row>
    <row r="44" customFormat="false" ht="15" hidden="false" customHeight="false" outlineLevel="0" collapsed="false">
      <c r="A44" s="7" t="s">
        <v>103</v>
      </c>
      <c r="C44" s="15" t="n">
        <f aca="false">B47</f>
        <v>3619</v>
      </c>
      <c r="D44" s="15" t="n">
        <f aca="false">C47</f>
        <v>3754</v>
      </c>
      <c r="E44" s="15" t="n">
        <f aca="false">D47</f>
        <v>3909</v>
      </c>
      <c r="F44" s="15" t="n">
        <f aca="false">E47</f>
        <v>4084.251</v>
      </c>
      <c r="G44" s="15" t="n">
        <f aca="false">F47</f>
        <v>4272.320325</v>
      </c>
      <c r="H44" s="15" t="n">
        <f aca="false">G47</f>
        <v>4460.273576745</v>
      </c>
      <c r="I44" s="15" t="n">
        <f aca="false">H47</f>
        <v>4657.02881784892</v>
      </c>
    </row>
    <row r="45" customFormat="false" ht="15" hidden="false" customHeight="false" outlineLevel="0" collapsed="false">
      <c r="A45" s="7" t="s">
        <v>104</v>
      </c>
      <c r="B45" s="12" t="n">
        <v>400</v>
      </c>
      <c r="C45" s="12" t="n">
        <v>429</v>
      </c>
      <c r="D45" s="12" t="n">
        <v>460</v>
      </c>
      <c r="E45" s="15" t="n">
        <f aca="false">E7*Assumptions!C13</f>
        <v>487.971</v>
      </c>
      <c r="F45" s="15" t="n">
        <f aca="false">F7*Assumptions!D13</f>
        <v>514.809405</v>
      </c>
      <c r="G45" s="15" t="n">
        <f aca="false">G7*Assumptions!E13</f>
        <v>529.738877745</v>
      </c>
      <c r="H45" s="15" t="n">
        <f aca="false">H7*Assumptions!F13</f>
        <v>553.577127243525</v>
      </c>
      <c r="I45" s="15" t="n">
        <f aca="false">I7*Assumptions!G13</f>
        <v>563.970820244832</v>
      </c>
    </row>
    <row r="46" customFormat="false" ht="15" hidden="false" customHeight="false" outlineLevel="0" collapsed="false">
      <c r="A46" s="7" t="s">
        <v>105</v>
      </c>
      <c r="C46" s="16" t="n">
        <f aca="false">C48/C44</f>
        <v>0.0809615915998895</v>
      </c>
      <c r="D46" s="16" t="n">
        <f aca="false">D48/D44</f>
        <v>0.0812466702184337</v>
      </c>
      <c r="E46" s="16" t="n">
        <f aca="false">E48/E44</f>
        <v>0.08</v>
      </c>
      <c r="F46" s="16" t="n">
        <f aca="false">F48/F44</f>
        <v>0.08</v>
      </c>
      <c r="G46" s="16" t="n">
        <f aca="false">G48/G44</f>
        <v>0.08</v>
      </c>
      <c r="H46" s="16" t="n">
        <f aca="false">H48/H44</f>
        <v>0.08</v>
      </c>
      <c r="I46" s="16" t="n">
        <f aca="false">I48/I44</f>
        <v>0.08</v>
      </c>
    </row>
    <row r="47" customFormat="false" ht="15" hidden="false" customHeight="false" outlineLevel="0" collapsed="false">
      <c r="A47" s="5" t="s">
        <v>106</v>
      </c>
      <c r="B47" s="12" t="n">
        <v>3619</v>
      </c>
      <c r="C47" s="12" t="n">
        <v>3754</v>
      </c>
      <c r="D47" s="12" t="n">
        <v>3909</v>
      </c>
      <c r="E47" s="17" t="n">
        <f aca="false">E44+E45-E48</f>
        <v>4084.251</v>
      </c>
      <c r="F47" s="17" t="n">
        <f aca="false">F44+F45-F48</f>
        <v>4272.320325</v>
      </c>
      <c r="G47" s="17" t="n">
        <f aca="false">G44+G45-G48</f>
        <v>4460.273576745</v>
      </c>
      <c r="H47" s="17" t="n">
        <f aca="false">H44+H45-H48</f>
        <v>4657.02881784892</v>
      </c>
      <c r="I47" s="17" t="n">
        <f aca="false">I44+I45-I48</f>
        <v>4848.43733266584</v>
      </c>
    </row>
    <row r="48" customFormat="false" ht="15" hidden="false" customHeight="false" outlineLevel="0" collapsed="false">
      <c r="A48" s="7" t="s">
        <v>76</v>
      </c>
      <c r="B48" s="12" t="n">
        <v>284</v>
      </c>
      <c r="C48" s="12" t="n">
        <v>293</v>
      </c>
      <c r="D48" s="12" t="n">
        <v>305</v>
      </c>
      <c r="E48" s="15" t="n">
        <f aca="false">E44*Assumptions!C11</f>
        <v>312.72</v>
      </c>
      <c r="F48" s="15" t="n">
        <f aca="false">F44*Assumptions!D11</f>
        <v>326.74008</v>
      </c>
      <c r="G48" s="15" t="n">
        <f aca="false">G44*Assumptions!E11</f>
        <v>341.785626</v>
      </c>
      <c r="H48" s="15" t="n">
        <f aca="false">H44*Assumptions!F11</f>
        <v>356.8218861396</v>
      </c>
      <c r="I48" s="15" t="n">
        <f aca="false">I44*Assumptions!G11</f>
        <v>372.562305427914</v>
      </c>
    </row>
    <row r="49" customFormat="false" ht="15" hidden="false" customHeight="false" outlineLevel="0" collapsed="false">
      <c r="A49" s="7" t="s">
        <v>107</v>
      </c>
      <c r="B49" s="16" t="n">
        <f aca="false">B45/B7</f>
        <v>0.0484907261486241</v>
      </c>
      <c r="C49" s="16" t="n">
        <f aca="false">C45/C7</f>
        <v>0.0494752623688156</v>
      </c>
      <c r="D49" s="16" t="n">
        <f aca="false">D45/D7</f>
        <v>0.0499619854458564</v>
      </c>
      <c r="E49" s="16" t="n">
        <f aca="false">E45/E7</f>
        <v>0.05</v>
      </c>
      <c r="F49" s="16" t="n">
        <f aca="false">F45/F7</f>
        <v>0.05</v>
      </c>
      <c r="G49" s="16" t="n">
        <f aca="false">G45/G7</f>
        <v>0.049</v>
      </c>
      <c r="H49" s="16" t="n">
        <f aca="false">H45/H7</f>
        <v>0.049</v>
      </c>
      <c r="I49" s="16" t="n">
        <f aca="false">I45/I7</f>
        <v>0.048</v>
      </c>
    </row>
    <row r="51" customFormat="false" ht="15" hidden="false" customHeight="false" outlineLevel="0" collapsed="false">
      <c r="A51" s="7" t="s">
        <v>108</v>
      </c>
      <c r="C51" s="15" t="n">
        <f aca="false">B55</f>
        <v>126</v>
      </c>
      <c r="D51" s="15" t="n">
        <f aca="false">C55</f>
        <v>119</v>
      </c>
      <c r="E51" s="15" t="n">
        <f aca="false">D55</f>
        <v>112</v>
      </c>
      <c r="F51" s="15" t="n">
        <f aca="false">E55</f>
        <v>105.28</v>
      </c>
      <c r="G51" s="15" t="n">
        <f aca="false">F55</f>
        <v>98.9632</v>
      </c>
      <c r="H51" s="15" t="n">
        <f aca="false">G55</f>
        <v>93.025408</v>
      </c>
      <c r="I51" s="15" t="n">
        <f aca="false">H55</f>
        <v>87.44388352</v>
      </c>
    </row>
    <row r="52" customFormat="false" ht="15" hidden="false" customHeight="false" outlineLevel="0" collapsed="false">
      <c r="A52" s="7" t="s">
        <v>77</v>
      </c>
      <c r="B52" s="12" t="n">
        <v>8</v>
      </c>
      <c r="C52" s="12" t="n">
        <v>7</v>
      </c>
      <c r="D52" s="12" t="n">
        <v>7</v>
      </c>
      <c r="E52" s="15" t="n">
        <f aca="false">E54</f>
        <v>6.72</v>
      </c>
      <c r="F52" s="15" t="n">
        <f aca="false">F54</f>
        <v>6.3168</v>
      </c>
      <c r="G52" s="15" t="n">
        <f aca="false">G54</f>
        <v>5.937792</v>
      </c>
      <c r="H52" s="15" t="n">
        <f aca="false">H54</f>
        <v>5.58152448</v>
      </c>
      <c r="I52" s="15" t="n">
        <f aca="false">I54</f>
        <v>5.2466330112</v>
      </c>
    </row>
    <row r="53" customFormat="false" ht="15" hidden="false" customHeight="false" outlineLevel="0" collapsed="false">
      <c r="A53" s="7" t="s">
        <v>109</v>
      </c>
      <c r="C53" s="16" t="n">
        <f aca="false">C52/C51</f>
        <v>0.0555555555555556</v>
      </c>
      <c r="D53" s="16" t="n">
        <f aca="false">D52/D51</f>
        <v>0.0588235294117647</v>
      </c>
      <c r="E53" s="16" t="n">
        <f aca="false">E52/E51</f>
        <v>0.06</v>
      </c>
      <c r="F53" s="16" t="n">
        <f aca="false">F52/F51</f>
        <v>0.06</v>
      </c>
      <c r="G53" s="16" t="n">
        <f aca="false">G52/G51</f>
        <v>0.06</v>
      </c>
      <c r="H53" s="16" t="n">
        <f aca="false">H52/H51</f>
        <v>0.06</v>
      </c>
      <c r="I53" s="16" t="n">
        <f aca="false">I52/I51</f>
        <v>0.06</v>
      </c>
    </row>
    <row r="54" customFormat="false" ht="15" hidden="false" customHeight="false" outlineLevel="0" collapsed="false">
      <c r="A54" s="7" t="s">
        <v>110</v>
      </c>
      <c r="B54" s="12" t="n">
        <v>8</v>
      </c>
      <c r="C54" s="12" t="n">
        <v>7</v>
      </c>
      <c r="D54" s="12" t="n">
        <v>7</v>
      </c>
      <c r="E54" s="15" t="n">
        <f aca="false">E51*Assumptions!C12</f>
        <v>6.72</v>
      </c>
      <c r="F54" s="15" t="n">
        <f aca="false">F51*Assumptions!D12</f>
        <v>6.3168</v>
      </c>
      <c r="G54" s="15" t="n">
        <f aca="false">G51*Assumptions!E12</f>
        <v>5.937792</v>
      </c>
      <c r="H54" s="15" t="n">
        <f aca="false">H51*Assumptions!F12</f>
        <v>5.58152448</v>
      </c>
      <c r="I54" s="15" t="n">
        <f aca="false">I51*Assumptions!G12</f>
        <v>5.2466330112</v>
      </c>
    </row>
    <row r="55" customFormat="false" ht="15" hidden="false" customHeight="false" outlineLevel="0" collapsed="false">
      <c r="A55" s="5" t="s">
        <v>111</v>
      </c>
      <c r="B55" s="12" t="n">
        <v>126</v>
      </c>
      <c r="C55" s="12" t="n">
        <v>119</v>
      </c>
      <c r="D55" s="12" t="n">
        <v>112</v>
      </c>
      <c r="E55" s="17" t="n">
        <f aca="false">E51-E54</f>
        <v>105.28</v>
      </c>
      <c r="F55" s="17" t="n">
        <f aca="false">F51-F54</f>
        <v>98.9632</v>
      </c>
      <c r="G55" s="17" t="n">
        <f aca="false">G51-G54</f>
        <v>93.025408</v>
      </c>
      <c r="H55" s="17" t="n">
        <f aca="false">H51-H54</f>
        <v>87.44388352</v>
      </c>
      <c r="I55" s="17" t="n">
        <f aca="false">I51-I54</f>
        <v>82.1972505088</v>
      </c>
    </row>
    <row r="57" customFormat="false" ht="15" hidden="false" customHeight="false" outlineLevel="0" collapsed="false">
      <c r="A57" s="13" t="s">
        <v>112</v>
      </c>
      <c r="B57" s="14"/>
      <c r="C57" s="14"/>
      <c r="D57" s="14"/>
      <c r="E57" s="14"/>
      <c r="F57" s="14"/>
      <c r="G57" s="14"/>
      <c r="H57" s="14"/>
      <c r="I57" s="14"/>
    </row>
    <row r="58" customFormat="false" ht="15" hidden="false" customHeight="false" outlineLevel="0" collapsed="false">
      <c r="A58" s="7" t="s">
        <v>113</v>
      </c>
      <c r="C58" s="15" t="n">
        <f aca="false">B61</f>
        <v>2566</v>
      </c>
      <c r="D58" s="15" t="n">
        <f aca="false">C61</f>
        <v>2343</v>
      </c>
      <c r="E58" s="15" t="n">
        <f aca="false">D61</f>
        <v>2120</v>
      </c>
      <c r="F58" s="15" t="n">
        <f aca="false">E61</f>
        <v>1897</v>
      </c>
      <c r="G58" s="15" t="n">
        <f aca="false">F61</f>
        <v>1674</v>
      </c>
      <c r="H58" s="15" t="n">
        <f aca="false">G61</f>
        <v>1451</v>
      </c>
      <c r="I58" s="15" t="n">
        <f aca="false">H61</f>
        <v>1228</v>
      </c>
    </row>
    <row r="59" customFormat="false" ht="15" hidden="false" customHeight="false" outlineLevel="0" collapsed="false">
      <c r="A59" s="7" t="s">
        <v>114</v>
      </c>
      <c r="B59" s="12" t="n">
        <v>223</v>
      </c>
      <c r="C59" s="12" t="n">
        <v>223</v>
      </c>
      <c r="D59" s="12" t="n">
        <v>223</v>
      </c>
      <c r="E59" s="15" t="n">
        <f aca="false">MIN(Assumptions!C23,E58)</f>
        <v>223</v>
      </c>
      <c r="F59" s="15" t="n">
        <f aca="false">MIN(Assumptions!D23,F58)</f>
        <v>223</v>
      </c>
      <c r="G59" s="15" t="n">
        <f aca="false">MIN(Assumptions!E23,G58)</f>
        <v>223</v>
      </c>
      <c r="H59" s="15" t="n">
        <f aca="false">MIN(Assumptions!F23,H58)</f>
        <v>223</v>
      </c>
      <c r="I59" s="15" t="n">
        <f aca="false">MIN(Assumptions!G23,I58)</f>
        <v>223</v>
      </c>
    </row>
    <row r="60" customFormat="false" ht="15" hidden="false" customHeight="false" outlineLevel="0" collapsed="false">
      <c r="A60" s="7" t="s">
        <v>115</v>
      </c>
      <c r="C60" s="16" t="n">
        <f aca="false">C18/B64</f>
        <v>0.100769769069279</v>
      </c>
      <c r="D60" s="16" t="n">
        <f aca="false">D18/C64</f>
        <v>0.100569259962049</v>
      </c>
      <c r="E60" s="16" t="n">
        <f aca="false">E18/D64</f>
        <v>0.1</v>
      </c>
      <c r="F60" s="16" t="n">
        <f aca="false">F18/E64</f>
        <v>0.1</v>
      </c>
      <c r="G60" s="16" t="n">
        <f aca="false">G18/F64</f>
        <v>0.1</v>
      </c>
      <c r="H60" s="16" t="n">
        <f aca="false">H18/G64</f>
        <v>0.1</v>
      </c>
      <c r="I60" s="16" t="n">
        <f aca="false">I18/H64</f>
        <v>0.1</v>
      </c>
    </row>
    <row r="61" customFormat="false" ht="15" hidden="false" customHeight="false" outlineLevel="0" collapsed="false">
      <c r="A61" s="5" t="s">
        <v>116</v>
      </c>
      <c r="B61" s="12" t="n">
        <v>2566</v>
      </c>
      <c r="C61" s="12" t="n">
        <v>2343</v>
      </c>
      <c r="D61" s="12" t="n">
        <v>2120</v>
      </c>
      <c r="E61" s="17" t="n">
        <f aca="false">E58-E59</f>
        <v>1897</v>
      </c>
      <c r="F61" s="17" t="n">
        <f aca="false">F58-F59</f>
        <v>1674</v>
      </c>
      <c r="G61" s="17" t="n">
        <f aca="false">G58-G59</f>
        <v>1451</v>
      </c>
      <c r="H61" s="17" t="n">
        <f aca="false">H58-H59</f>
        <v>1228</v>
      </c>
      <c r="I61" s="17" t="n">
        <f aca="false">I58-I59</f>
        <v>1005</v>
      </c>
    </row>
    <row r="62" customFormat="false" ht="15" hidden="false" customHeight="false" outlineLevel="0" collapsed="false">
      <c r="A62" s="7" t="s">
        <v>117</v>
      </c>
      <c r="B62" s="16" t="n">
        <f aca="false">B21/B20</f>
        <v>0.25</v>
      </c>
      <c r="C62" s="16" t="n">
        <f aca="false">C21/C20</f>
        <v>0.249249249249249</v>
      </c>
      <c r="D62" s="16" t="n">
        <f aca="false">D21/D20</f>
        <v>0.25</v>
      </c>
      <c r="E62" s="16" t="n">
        <f aca="false">E21/E20</f>
        <v>0.25</v>
      </c>
      <c r="F62" s="16" t="n">
        <f aca="false">F21/F20</f>
        <v>0.25</v>
      </c>
      <c r="G62" s="16" t="n">
        <f aca="false">G21/G20</f>
        <v>0.25</v>
      </c>
      <c r="H62" s="16" t="n">
        <f aca="false">H21/H20</f>
        <v>0.25</v>
      </c>
      <c r="I62" s="16" t="n">
        <f aca="false">I21/I20</f>
        <v>0.25</v>
      </c>
    </row>
    <row r="63" customFormat="false" ht="15" hidden="false" customHeight="false" outlineLevel="0" collapsed="false">
      <c r="A63" s="7" t="s">
        <v>118</v>
      </c>
      <c r="B63" s="12" t="n">
        <v>292</v>
      </c>
      <c r="C63" s="12" t="n">
        <v>292</v>
      </c>
      <c r="D63" s="12" t="n">
        <v>292</v>
      </c>
      <c r="E63" s="15" t="n">
        <f aca="false">D63</f>
        <v>292</v>
      </c>
      <c r="F63" s="15" t="n">
        <f aca="false">E63</f>
        <v>292</v>
      </c>
      <c r="G63" s="15" t="n">
        <f aca="false">F63</f>
        <v>292</v>
      </c>
      <c r="H63" s="15" t="n">
        <f aca="false">G63</f>
        <v>292</v>
      </c>
      <c r="I63" s="15" t="n">
        <f aca="false">H63</f>
        <v>292</v>
      </c>
    </row>
    <row r="64" customFormat="false" ht="15" hidden="false" customHeight="false" outlineLevel="0" collapsed="false">
      <c r="A64" s="5" t="s">
        <v>119</v>
      </c>
      <c r="B64" s="17" t="n">
        <f aca="false">B61+B63</f>
        <v>2858</v>
      </c>
      <c r="C64" s="17" t="n">
        <f aca="false">C61+C63</f>
        <v>2635</v>
      </c>
      <c r="D64" s="17" t="n">
        <f aca="false">D61+D63</f>
        <v>2412</v>
      </c>
      <c r="E64" s="17" t="n">
        <f aca="false">E61+E63</f>
        <v>2189</v>
      </c>
      <c r="F64" s="17" t="n">
        <f aca="false">F61+F63</f>
        <v>1966</v>
      </c>
      <c r="G64" s="17" t="n">
        <f aca="false">G61+G63</f>
        <v>1743</v>
      </c>
      <c r="H64" s="17" t="n">
        <f aca="false">H61+H63</f>
        <v>1520</v>
      </c>
      <c r="I64" s="17" t="n">
        <f aca="false">I61+I63</f>
        <v>1297</v>
      </c>
    </row>
    <row r="66" customFormat="false" ht="15" hidden="false" customHeight="false" outlineLevel="0" collapsed="false">
      <c r="A66" s="13" t="s">
        <v>120</v>
      </c>
      <c r="B66" s="14"/>
      <c r="C66" s="14"/>
      <c r="D66" s="14"/>
      <c r="E66" s="14"/>
      <c r="F66" s="14"/>
      <c r="G66" s="14"/>
      <c r="H66" s="14"/>
      <c r="I66" s="14"/>
    </row>
    <row r="67" customFormat="false" ht="15" hidden="false" customHeight="false" outlineLevel="0" collapsed="false">
      <c r="A67" s="7" t="s">
        <v>83</v>
      </c>
      <c r="C67" s="15" t="n">
        <f aca="false">C22</f>
        <v>500</v>
      </c>
      <c r="D67" s="15" t="n">
        <f aca="false">D22</f>
        <v>564</v>
      </c>
      <c r="E67" s="15" t="n">
        <f aca="false">E22</f>
        <v>633.559274999999</v>
      </c>
      <c r="F67" s="15" t="n">
        <f aca="false">F22</f>
        <v>697.676130906452</v>
      </c>
      <c r="G67" s="15" t="n">
        <f aca="false">G22</f>
        <v>776.059093446446</v>
      </c>
      <c r="H67" s="15" t="n">
        <f aca="false">H22</f>
        <v>838.03166725394</v>
      </c>
      <c r="I67" s="15" t="n">
        <f aca="false">I22</f>
        <v>913.924934684539</v>
      </c>
    </row>
    <row r="68" customFormat="false" ht="15" hidden="false" customHeight="false" outlineLevel="0" collapsed="false">
      <c r="A68" s="7" t="s">
        <v>121</v>
      </c>
      <c r="C68" s="15" t="n">
        <f aca="false">C15+C16</f>
        <v>300</v>
      </c>
      <c r="D68" s="15" t="n">
        <f aca="false">D15+D16</f>
        <v>312</v>
      </c>
      <c r="E68" s="15" t="n">
        <f aca="false">E15+E16</f>
        <v>319.44</v>
      </c>
      <c r="F68" s="15" t="n">
        <f aca="false">F15+F16</f>
        <v>333.05688</v>
      </c>
      <c r="G68" s="15" t="n">
        <f aca="false">G15+G16</f>
        <v>347.723418</v>
      </c>
      <c r="H68" s="15" t="n">
        <f aca="false">H15+H16</f>
        <v>362.4034106196</v>
      </c>
      <c r="I68" s="15" t="n">
        <f aca="false">I15+I16</f>
        <v>377.808938439114</v>
      </c>
    </row>
    <row r="69" customFormat="false" ht="15" hidden="false" customHeight="false" outlineLevel="0" collapsed="false">
      <c r="A69" s="7" t="s">
        <v>122</v>
      </c>
      <c r="C69" s="15" t="n">
        <f aca="false">C41</f>
        <v>5</v>
      </c>
      <c r="D69" s="15" t="n">
        <f aca="false">D41</f>
        <v>-64</v>
      </c>
      <c r="E69" s="15" t="n">
        <f aca="false">E41</f>
        <v>-61.097953808219</v>
      </c>
      <c r="F69" s="15" t="n">
        <f aca="false">F41</f>
        <v>-53.0948544484929</v>
      </c>
      <c r="G69" s="15" t="n">
        <f aca="false">G41</f>
        <v>-22.698158231959</v>
      </c>
      <c r="H69" s="15" t="n">
        <f aca="false">H41</f>
        <v>-53.54509349199</v>
      </c>
      <c r="I69" s="15" t="n">
        <f aca="false">I41</f>
        <v>-48.9648796317679</v>
      </c>
    </row>
    <row r="70" customFormat="false" ht="15" hidden="false" customHeight="false" outlineLevel="0" collapsed="false">
      <c r="A70" s="5" t="s">
        <v>123</v>
      </c>
      <c r="C70" s="17" t="n">
        <f aca="false">SUM(C67:C69)</f>
        <v>805</v>
      </c>
      <c r="D70" s="17" t="n">
        <f aca="false">SUM(D67:D69)</f>
        <v>812</v>
      </c>
      <c r="E70" s="17" t="n">
        <f aca="false">SUM(E67:E69)</f>
        <v>891.90132119178</v>
      </c>
      <c r="F70" s="17" t="n">
        <f aca="false">SUM(F67:F69)</f>
        <v>977.638156457959</v>
      </c>
      <c r="G70" s="17" t="n">
        <f aca="false">SUM(G67:G69)</f>
        <v>1101.08435321449</v>
      </c>
      <c r="H70" s="17" t="n">
        <f aca="false">SUM(H67:H69)</f>
        <v>1146.88998438155</v>
      </c>
      <c r="I70" s="17" t="n">
        <f aca="false">SUM(I67:I69)</f>
        <v>1242.76899349188</v>
      </c>
    </row>
    <row r="71" customFormat="false" ht="15" hidden="false" customHeight="false" outlineLevel="0" collapsed="false">
      <c r="A71" s="7" t="s">
        <v>124</v>
      </c>
      <c r="C71" s="15" t="n">
        <f aca="false">-C45</f>
        <v>-429</v>
      </c>
      <c r="D71" s="15" t="n">
        <f aca="false">-D45</f>
        <v>-460</v>
      </c>
      <c r="E71" s="15" t="n">
        <f aca="false">-E45</f>
        <v>-487.971</v>
      </c>
      <c r="F71" s="15" t="n">
        <f aca="false">-F45</f>
        <v>-514.809405</v>
      </c>
      <c r="G71" s="15" t="n">
        <f aca="false">-G45</f>
        <v>-529.738877745</v>
      </c>
      <c r="H71" s="15" t="n">
        <f aca="false">-H45</f>
        <v>-553.577127243525</v>
      </c>
      <c r="I71" s="15" t="n">
        <f aca="false">-I45</f>
        <v>-563.970820244832</v>
      </c>
    </row>
    <row r="72" customFormat="false" ht="15" hidden="false" customHeight="false" outlineLevel="0" collapsed="false">
      <c r="A72" s="5" t="s">
        <v>125</v>
      </c>
      <c r="C72" s="17" t="n">
        <f aca="false">C71</f>
        <v>-429</v>
      </c>
      <c r="D72" s="17" t="n">
        <f aca="false">D71</f>
        <v>-460</v>
      </c>
      <c r="E72" s="17" t="n">
        <f aca="false">E71</f>
        <v>-487.971</v>
      </c>
      <c r="F72" s="17" t="n">
        <f aca="false">F71</f>
        <v>-514.809405</v>
      </c>
      <c r="G72" s="17" t="n">
        <f aca="false">G71</f>
        <v>-529.738877745</v>
      </c>
      <c r="H72" s="17" t="n">
        <f aca="false">H71</f>
        <v>-553.577127243525</v>
      </c>
      <c r="I72" s="17" t="n">
        <f aca="false">I71</f>
        <v>-563.970820244832</v>
      </c>
    </row>
    <row r="73" customFormat="false" ht="15" hidden="false" customHeight="false" outlineLevel="0" collapsed="false">
      <c r="A73" s="7" t="s">
        <v>126</v>
      </c>
      <c r="C73" s="15" t="n">
        <f aca="false">-C59</f>
        <v>-223</v>
      </c>
      <c r="D73" s="15" t="n">
        <f aca="false">-D59</f>
        <v>-223</v>
      </c>
      <c r="E73" s="15" t="n">
        <f aca="false">-E59</f>
        <v>-223</v>
      </c>
      <c r="F73" s="15" t="n">
        <f aca="false">-F59</f>
        <v>-223</v>
      </c>
      <c r="G73" s="15" t="n">
        <f aca="false">-G59</f>
        <v>-223</v>
      </c>
      <c r="H73" s="15" t="n">
        <f aca="false">-H59</f>
        <v>-223</v>
      </c>
      <c r="I73" s="15" t="n">
        <f aca="false">-I59</f>
        <v>-223</v>
      </c>
    </row>
    <row r="74" customFormat="false" ht="15" hidden="false" customHeight="false" outlineLevel="0" collapsed="false">
      <c r="A74" s="7" t="s">
        <v>85</v>
      </c>
      <c r="C74" s="15" t="n">
        <f aca="false">-C24</f>
        <v>-0</v>
      </c>
      <c r="D74" s="15" t="n">
        <f aca="false">-D24</f>
        <v>-0</v>
      </c>
      <c r="E74" s="15" t="n">
        <f aca="false">-E24</f>
        <v>-0</v>
      </c>
      <c r="F74" s="15" t="n">
        <f aca="false">-F24</f>
        <v>-0</v>
      </c>
      <c r="G74" s="15" t="n">
        <f aca="false">-G24</f>
        <v>-0</v>
      </c>
      <c r="H74" s="15" t="n">
        <f aca="false">-H24</f>
        <v>-0</v>
      </c>
      <c r="I74" s="15" t="n">
        <f aca="false">-I24</f>
        <v>-0</v>
      </c>
    </row>
    <row r="75" customFormat="false" ht="15" hidden="false" customHeight="false" outlineLevel="0" collapsed="false">
      <c r="A75" s="5" t="s">
        <v>127</v>
      </c>
      <c r="C75" s="17" t="n">
        <f aca="false">SUM(C73:C74)</f>
        <v>-223</v>
      </c>
      <c r="D75" s="17" t="n">
        <f aca="false">SUM(D73:D74)</f>
        <v>-223</v>
      </c>
      <c r="E75" s="17" t="n">
        <f aca="false">SUM(E73:E74)</f>
        <v>-223</v>
      </c>
      <c r="F75" s="17" t="n">
        <f aca="false">SUM(F73:F74)</f>
        <v>-223</v>
      </c>
      <c r="G75" s="17" t="n">
        <f aca="false">SUM(G73:G74)</f>
        <v>-223</v>
      </c>
      <c r="H75" s="17" t="n">
        <f aca="false">SUM(H73:H74)</f>
        <v>-223</v>
      </c>
      <c r="I75" s="17" t="n">
        <f aca="false">SUM(I73:I74)</f>
        <v>-223</v>
      </c>
    </row>
    <row r="76" customFormat="false" ht="15" hidden="false" customHeight="false" outlineLevel="0" collapsed="false">
      <c r="A76" s="7" t="s">
        <v>128</v>
      </c>
      <c r="C76" s="15" t="n">
        <f aca="false">C82-(B82+C70+C72+C75)</f>
        <v>-1</v>
      </c>
      <c r="D76" s="15" t="n">
        <f aca="false">D82-(C82+D70+D72+D75)</f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</row>
    <row r="77" customFormat="false" ht="15" hidden="false" customHeight="false" outlineLevel="0" collapsed="false">
      <c r="A77" s="5" t="s">
        <v>129</v>
      </c>
      <c r="C77" s="17" t="n">
        <f aca="false">C70+C72+C75+C76</f>
        <v>152</v>
      </c>
      <c r="D77" s="17" t="n">
        <f aca="false">D70+D72+D75+D76</f>
        <v>129</v>
      </c>
      <c r="E77" s="17" t="n">
        <f aca="false">E70+E72+E75+E76</f>
        <v>180.93032119178</v>
      </c>
      <c r="F77" s="17" t="n">
        <f aca="false">F70+F72+F75+F76</f>
        <v>239.828751457959</v>
      </c>
      <c r="G77" s="17" t="n">
        <f aca="false">G70+G72+G75+G76</f>
        <v>348.345475469487</v>
      </c>
      <c r="H77" s="17" t="n">
        <f aca="false">H70+H72+H75+H76</f>
        <v>370.312857138025</v>
      </c>
      <c r="I77" s="17" t="n">
        <f aca="false">I70+I72+I75+I76</f>
        <v>455.798173247053</v>
      </c>
    </row>
    <row r="78" customFormat="false" ht="15" hidden="false" customHeight="false" outlineLevel="0" collapsed="false">
      <c r="A78" s="7" t="s">
        <v>130</v>
      </c>
      <c r="C78" s="15" t="n">
        <f aca="false">B82</f>
        <v>3380</v>
      </c>
      <c r="D78" s="15" t="n">
        <f aca="false">C82</f>
        <v>3532</v>
      </c>
      <c r="E78" s="15" t="n">
        <f aca="false">D82</f>
        <v>3661</v>
      </c>
      <c r="F78" s="15" t="n">
        <f aca="false">E82</f>
        <v>3841.93032119178</v>
      </c>
      <c r="G78" s="15" t="n">
        <f aca="false">F82</f>
        <v>4081.75907264974</v>
      </c>
      <c r="H78" s="15" t="n">
        <f aca="false">G82</f>
        <v>4430.10454811923</v>
      </c>
      <c r="I78" s="15" t="n">
        <f aca="false">H82</f>
        <v>4800.41740525725</v>
      </c>
    </row>
    <row r="79" customFormat="false" ht="15" hidden="false" customHeight="false" outlineLevel="0" collapsed="false">
      <c r="A79" s="5" t="s">
        <v>131</v>
      </c>
      <c r="C79" s="17" t="n">
        <f aca="false">C78+C77</f>
        <v>3532</v>
      </c>
      <c r="D79" s="17" t="n">
        <f aca="false">D78+D77</f>
        <v>3661</v>
      </c>
      <c r="E79" s="17" t="n">
        <f aca="false">E78+E77</f>
        <v>3841.93032119178</v>
      </c>
      <c r="F79" s="17" t="n">
        <f aca="false">F78+F77</f>
        <v>4081.75907264974</v>
      </c>
      <c r="G79" s="17" t="n">
        <f aca="false">G78+G77</f>
        <v>4430.10454811923</v>
      </c>
      <c r="H79" s="17" t="n">
        <f aca="false">H78+H77</f>
        <v>4800.41740525725</v>
      </c>
      <c r="I79" s="17" t="n">
        <f aca="false">I78+I77</f>
        <v>5256.2155785043</v>
      </c>
    </row>
    <row r="80" customFormat="false" ht="15" hidden="false" customHeight="false" outlineLevel="0" collapsed="false">
      <c r="A80" s="7" t="s">
        <v>132</v>
      </c>
      <c r="C80" s="15" t="n">
        <f aca="false">C17*(1-C62)+C15+C16-C45+C41</f>
        <v>529.903903903904</v>
      </c>
      <c r="D80" s="15" t="n">
        <f aca="false">D17*(1-D62)+D15+D16-D45+D41</f>
        <v>486.25</v>
      </c>
      <c r="E80" s="15" t="n">
        <f aca="false">E17*(1-E62)+E15+E16-E45+E41</f>
        <v>518.93232119178</v>
      </c>
      <c r="F80" s="15" t="n">
        <f aca="false">F17*(1-F62)+F15+F16-F45+F41</f>
        <v>557.849005676507</v>
      </c>
      <c r="G80" s="15" t="n">
        <f aca="false">G17*(1-G62)+G15+G16-G45+G41</f>
        <v>645.323812161791</v>
      </c>
      <c r="H80" s="15" t="n">
        <f aca="false">H17*(1-H62)+H15+H16-H45+H41</f>
        <v>644.295975271879</v>
      </c>
      <c r="I80" s="15" t="n">
        <f aca="false">I17*(1-I62)+I15+I16-I45+I41</f>
        <v>706.390659952422</v>
      </c>
    </row>
    <row r="81" customFormat="false" ht="15" hidden="false" customHeight="false" outlineLevel="0" collapsed="false">
      <c r="A81" s="13" t="s">
        <v>133</v>
      </c>
      <c r="B81" s="14"/>
      <c r="C81" s="14"/>
      <c r="D81" s="14"/>
      <c r="E81" s="14"/>
      <c r="F81" s="14"/>
      <c r="G81" s="14"/>
      <c r="H81" s="14"/>
      <c r="I81" s="14"/>
    </row>
    <row r="82" customFormat="false" ht="15" hidden="false" customHeight="false" outlineLevel="0" collapsed="false">
      <c r="A82" s="7" t="s">
        <v>134</v>
      </c>
      <c r="B82" s="12" t="n">
        <v>3380</v>
      </c>
      <c r="C82" s="12" t="n">
        <v>3532</v>
      </c>
      <c r="D82" s="12" t="n">
        <v>3661</v>
      </c>
      <c r="E82" s="15" t="n">
        <f aca="false">E79</f>
        <v>3841.93032119178</v>
      </c>
      <c r="F82" s="15" t="n">
        <f aca="false">F79</f>
        <v>4081.75907264974</v>
      </c>
      <c r="G82" s="15" t="n">
        <f aca="false">G79</f>
        <v>4430.10454811923</v>
      </c>
      <c r="H82" s="15" t="n">
        <f aca="false">H79</f>
        <v>4800.41740525725</v>
      </c>
      <c r="I82" s="15" t="n">
        <f aca="false">I79</f>
        <v>5256.2155785043</v>
      </c>
    </row>
    <row r="83" customFormat="false" ht="15" hidden="false" customHeight="false" outlineLevel="0" collapsed="false">
      <c r="A83" s="7" t="s">
        <v>87</v>
      </c>
      <c r="B83" s="12" t="n">
        <v>730</v>
      </c>
      <c r="C83" s="12" t="n">
        <v>726</v>
      </c>
      <c r="D83" s="12" t="n">
        <v>773</v>
      </c>
      <c r="E83" s="15" t="n">
        <f aca="false">E27</f>
        <v>818.186991780822</v>
      </c>
      <c r="F83" s="15" t="n">
        <f aca="false">F27</f>
        <v>863.187276328767</v>
      </c>
      <c r="G83" s="15" t="n">
        <f aca="false">G27</f>
        <v>888.57513739726</v>
      </c>
      <c r="H83" s="15" t="n">
        <f aca="false">H27</f>
        <v>928.561018580137</v>
      </c>
      <c r="I83" s="15" t="n">
        <f aca="false">I27</f>
        <v>965.703459323342</v>
      </c>
    </row>
    <row r="84" customFormat="false" ht="15" hidden="false" customHeight="false" outlineLevel="0" collapsed="false">
      <c r="A84" s="7" t="s">
        <v>89</v>
      </c>
      <c r="B84" s="12" t="n">
        <v>1058</v>
      </c>
      <c r="C84" s="12" t="n">
        <v>1053</v>
      </c>
      <c r="D84" s="12" t="n">
        <v>1121</v>
      </c>
      <c r="E84" s="15" t="n">
        <f aca="false">E29</f>
        <v>1187.9219500274</v>
      </c>
      <c r="F84" s="15" t="n">
        <f aca="false">F29</f>
        <v>1243.44101766575</v>
      </c>
      <c r="G84" s="15" t="n">
        <f aca="false">G29</f>
        <v>1286.21251138253</v>
      </c>
      <c r="H84" s="15" t="n">
        <f aca="false">H29</f>
        <v>1344.09207439475</v>
      </c>
      <c r="I84" s="15" t="n">
        <f aca="false">I29</f>
        <v>1395.44149872223</v>
      </c>
    </row>
    <row r="85" customFormat="false" ht="15" hidden="false" customHeight="false" outlineLevel="0" collapsed="false">
      <c r="A85" s="7" t="s">
        <v>91</v>
      </c>
      <c r="B85" s="12" t="n">
        <v>111</v>
      </c>
      <c r="C85" s="12" t="n">
        <v>110</v>
      </c>
      <c r="D85" s="12" t="n">
        <v>118</v>
      </c>
      <c r="E85" s="15" t="n">
        <f aca="false">E31</f>
        <v>124.920576</v>
      </c>
      <c r="F85" s="15" t="n">
        <f aca="false">F31</f>
        <v>131.79120768</v>
      </c>
      <c r="G85" s="15" t="n">
        <f aca="false">G31</f>
        <v>138.380768064</v>
      </c>
      <c r="H85" s="15" t="n">
        <f aca="false">H31</f>
        <v>144.60790262688</v>
      </c>
      <c r="I85" s="15" t="n">
        <f aca="false">I31</f>
        <v>150.392218731955</v>
      </c>
    </row>
    <row r="86" customFormat="false" ht="15" hidden="false" customHeight="false" outlineLevel="0" collapsed="false">
      <c r="A86" s="7" t="s">
        <v>135</v>
      </c>
      <c r="B86" s="12" t="n">
        <v>3619</v>
      </c>
      <c r="C86" s="12" t="n">
        <v>3754</v>
      </c>
      <c r="D86" s="12" t="n">
        <v>3909</v>
      </c>
      <c r="E86" s="15" t="n">
        <f aca="false">E47</f>
        <v>4084.251</v>
      </c>
      <c r="F86" s="15" t="n">
        <f aca="false">F47</f>
        <v>4272.320325</v>
      </c>
      <c r="G86" s="15" t="n">
        <f aca="false">G47</f>
        <v>4460.273576745</v>
      </c>
      <c r="H86" s="15" t="n">
        <f aca="false">H47</f>
        <v>4657.02881784892</v>
      </c>
      <c r="I86" s="15" t="n">
        <f aca="false">I47</f>
        <v>4848.43733266584</v>
      </c>
    </row>
    <row r="87" customFormat="false" ht="15" hidden="false" customHeight="false" outlineLevel="0" collapsed="false">
      <c r="A87" s="7" t="s">
        <v>136</v>
      </c>
      <c r="B87" s="12" t="n">
        <v>126</v>
      </c>
      <c r="C87" s="12" t="n">
        <v>119</v>
      </c>
      <c r="D87" s="12" t="n">
        <v>112</v>
      </c>
      <c r="E87" s="15" t="n">
        <f aca="false">E55</f>
        <v>105.28</v>
      </c>
      <c r="F87" s="15" t="n">
        <f aca="false">F55</f>
        <v>98.9632</v>
      </c>
      <c r="G87" s="15" t="n">
        <f aca="false">G55</f>
        <v>93.025408</v>
      </c>
      <c r="H87" s="15" t="n">
        <f aca="false">H55</f>
        <v>87.44388352</v>
      </c>
      <c r="I87" s="15" t="n">
        <f aca="false">I55</f>
        <v>82.1972505088</v>
      </c>
    </row>
    <row r="88" customFormat="false" ht="15" hidden="false" customHeight="false" outlineLevel="0" collapsed="false">
      <c r="A88" s="7" t="s">
        <v>137</v>
      </c>
      <c r="B88" s="12" t="n">
        <v>195</v>
      </c>
      <c r="C88" s="12" t="n">
        <v>195</v>
      </c>
      <c r="D88" s="12" t="n">
        <v>195</v>
      </c>
      <c r="E88" s="15" t="n">
        <f aca="false">D88</f>
        <v>195</v>
      </c>
      <c r="F88" s="15" t="n">
        <f aca="false">E88</f>
        <v>195</v>
      </c>
      <c r="G88" s="15" t="n">
        <f aca="false">F88</f>
        <v>195</v>
      </c>
      <c r="H88" s="15" t="n">
        <f aca="false">G88</f>
        <v>195</v>
      </c>
      <c r="I88" s="15" t="n">
        <f aca="false">H88</f>
        <v>195</v>
      </c>
    </row>
    <row r="89" customFormat="false" ht="15" hidden="false" customHeight="false" outlineLevel="0" collapsed="false">
      <c r="A89" s="5" t="s">
        <v>138</v>
      </c>
      <c r="B89" s="19" t="n">
        <f aca="false">SUM(B82:B88)</f>
        <v>9219</v>
      </c>
      <c r="C89" s="19" t="n">
        <f aca="false">SUM(C82:C88)</f>
        <v>9489</v>
      </c>
      <c r="D89" s="19" t="n">
        <f aca="false">SUM(D82:D88)</f>
        <v>9889</v>
      </c>
      <c r="E89" s="19" t="n">
        <f aca="false">SUM(E82:E88)</f>
        <v>10357.490839</v>
      </c>
      <c r="F89" s="19" t="n">
        <f aca="false">SUM(F82:F88)</f>
        <v>10886.4620993243</v>
      </c>
      <c r="G89" s="19" t="n">
        <f aca="false">SUM(G82:G88)</f>
        <v>11491.571949708</v>
      </c>
      <c r="H89" s="19" t="n">
        <f aca="false">SUM(H82:H88)</f>
        <v>12157.1511022279</v>
      </c>
      <c r="I89" s="19" t="n">
        <f aca="false">SUM(I82:I88)</f>
        <v>12893.3873384565</v>
      </c>
    </row>
    <row r="90" customFormat="false" ht="15" hidden="false" customHeight="false" outlineLevel="0" collapsed="false">
      <c r="A90" s="7" t="s">
        <v>92</v>
      </c>
      <c r="B90" s="12" t="n">
        <v>705</v>
      </c>
      <c r="C90" s="12" t="n">
        <v>702</v>
      </c>
      <c r="D90" s="12" t="n">
        <v>747</v>
      </c>
      <c r="E90" s="15" t="n">
        <f aca="false">E32</f>
        <v>792.464904</v>
      </c>
      <c r="F90" s="15" t="n">
        <f aca="false">F32</f>
        <v>834.414367117808</v>
      </c>
      <c r="G90" s="15" t="n">
        <f aca="false">G32</f>
        <v>874.624507740123</v>
      </c>
      <c r="H90" s="15" t="n">
        <f aca="false">H32</f>
        <v>913.982610588429</v>
      </c>
      <c r="I90" s="15" t="n">
        <f aca="false">I32</f>
        <v>948.900219131116</v>
      </c>
    </row>
    <row r="91" customFormat="false" ht="15" hidden="false" customHeight="false" outlineLevel="0" collapsed="false">
      <c r="A91" s="7" t="s">
        <v>94</v>
      </c>
      <c r="B91" s="12" t="n">
        <v>89</v>
      </c>
      <c r="C91" s="12" t="n">
        <v>88</v>
      </c>
      <c r="D91" s="12" t="n">
        <v>94</v>
      </c>
      <c r="E91" s="15" t="n">
        <f aca="false">E34</f>
        <v>99.546084</v>
      </c>
      <c r="F91" s="15" t="n">
        <f aca="false">F34</f>
        <v>105.02111862</v>
      </c>
      <c r="G91" s="15" t="n">
        <f aca="false">G34</f>
        <v>110.272174551</v>
      </c>
      <c r="H91" s="15" t="n">
        <f aca="false">H34</f>
        <v>115.234422405795</v>
      </c>
      <c r="I91" s="15" t="n">
        <f aca="false">I34</f>
        <v>119.843799302027</v>
      </c>
    </row>
    <row r="92" customFormat="false" ht="15" hidden="false" customHeight="false" outlineLevel="0" collapsed="false">
      <c r="A92" s="7" t="s">
        <v>98</v>
      </c>
      <c r="B92" s="12" t="n">
        <v>111</v>
      </c>
      <c r="C92" s="12" t="n">
        <v>110</v>
      </c>
      <c r="D92" s="12" t="n">
        <v>118</v>
      </c>
      <c r="E92" s="15" t="n">
        <f aca="false">E38</f>
        <v>124.920576</v>
      </c>
      <c r="F92" s="15" t="n">
        <f aca="false">F38</f>
        <v>131.79120768</v>
      </c>
      <c r="G92" s="15" t="n">
        <f aca="false">G38</f>
        <v>138.380768064</v>
      </c>
      <c r="H92" s="15" t="n">
        <f aca="false">H38</f>
        <v>144.60790262688</v>
      </c>
      <c r="I92" s="15" t="n">
        <f aca="false">I38</f>
        <v>150.392218731955</v>
      </c>
    </row>
    <row r="93" customFormat="false" ht="15" hidden="false" customHeight="false" outlineLevel="0" collapsed="false">
      <c r="A93" s="7" t="s">
        <v>118</v>
      </c>
      <c r="B93" s="12" t="n">
        <v>292</v>
      </c>
      <c r="C93" s="12" t="n">
        <v>292</v>
      </c>
      <c r="D93" s="12" t="n">
        <v>292</v>
      </c>
      <c r="E93" s="15" t="n">
        <f aca="false">E63</f>
        <v>292</v>
      </c>
      <c r="F93" s="15" t="n">
        <f aca="false">F63</f>
        <v>292</v>
      </c>
      <c r="G93" s="15" t="n">
        <f aca="false">G63</f>
        <v>292</v>
      </c>
      <c r="H93" s="15" t="n">
        <f aca="false">H63</f>
        <v>292</v>
      </c>
      <c r="I93" s="15" t="n">
        <f aca="false">I63</f>
        <v>292</v>
      </c>
    </row>
    <row r="94" customFormat="false" ht="15" hidden="false" customHeight="false" outlineLevel="0" collapsed="false">
      <c r="A94" s="7" t="s">
        <v>139</v>
      </c>
      <c r="B94" s="12" t="n">
        <v>2566</v>
      </c>
      <c r="C94" s="12" t="n">
        <v>2343</v>
      </c>
      <c r="D94" s="12" t="n">
        <v>2120</v>
      </c>
      <c r="E94" s="15" t="n">
        <f aca="false">E61</f>
        <v>1897</v>
      </c>
      <c r="F94" s="15" t="n">
        <f aca="false">F61</f>
        <v>1674</v>
      </c>
      <c r="G94" s="15" t="n">
        <f aca="false">G61</f>
        <v>1451</v>
      </c>
      <c r="H94" s="15" t="n">
        <f aca="false">H61</f>
        <v>1228</v>
      </c>
      <c r="I94" s="15" t="n">
        <f aca="false">I61</f>
        <v>1005</v>
      </c>
    </row>
    <row r="95" customFormat="false" ht="15" hidden="false" customHeight="false" outlineLevel="0" collapsed="false">
      <c r="A95" s="7" t="s">
        <v>140</v>
      </c>
      <c r="B95" s="12" t="n">
        <v>117</v>
      </c>
      <c r="C95" s="12" t="n">
        <v>117</v>
      </c>
      <c r="D95" s="12" t="n">
        <v>117</v>
      </c>
      <c r="E95" s="15" t="n">
        <f aca="false">D95</f>
        <v>117</v>
      </c>
      <c r="F95" s="15" t="n">
        <f aca="false">E95</f>
        <v>117</v>
      </c>
      <c r="G95" s="15" t="n">
        <f aca="false">F95</f>
        <v>117</v>
      </c>
      <c r="H95" s="15" t="n">
        <f aca="false">G95</f>
        <v>117</v>
      </c>
      <c r="I95" s="15" t="n">
        <f aca="false">H95</f>
        <v>117</v>
      </c>
    </row>
    <row r="96" customFormat="false" ht="15" hidden="false" customHeight="false" outlineLevel="0" collapsed="false">
      <c r="A96" s="5" t="s">
        <v>141</v>
      </c>
      <c r="B96" s="17" t="n">
        <f aca="false">SUM(B90:B95)</f>
        <v>3880</v>
      </c>
      <c r="C96" s="17" t="n">
        <f aca="false">SUM(C90:C95)</f>
        <v>3652</v>
      </c>
      <c r="D96" s="17" t="n">
        <f aca="false">SUM(D90:D95)</f>
        <v>3488</v>
      </c>
      <c r="E96" s="17" t="n">
        <f aca="false">SUM(E90:E95)</f>
        <v>3322.931564</v>
      </c>
      <c r="F96" s="17" t="n">
        <f aca="false">SUM(F90:F95)</f>
        <v>3154.22669341781</v>
      </c>
      <c r="G96" s="17" t="n">
        <f aca="false">SUM(G90:G95)</f>
        <v>2983.27745035512</v>
      </c>
      <c r="H96" s="17" t="n">
        <f aca="false">SUM(H90:H95)</f>
        <v>2810.8249356211</v>
      </c>
      <c r="I96" s="17" t="n">
        <f aca="false">SUM(I90:I95)</f>
        <v>2633.1362371651</v>
      </c>
    </row>
    <row r="97" customFormat="false" ht="15" hidden="false" customHeight="false" outlineLevel="0" collapsed="false">
      <c r="A97" s="7" t="s">
        <v>142</v>
      </c>
      <c r="B97" s="12" t="n">
        <v>973</v>
      </c>
      <c r="C97" s="12" t="n">
        <v>973</v>
      </c>
      <c r="D97" s="12" t="n">
        <v>973</v>
      </c>
      <c r="E97" s="15" t="n">
        <f aca="false">D97</f>
        <v>973</v>
      </c>
      <c r="F97" s="15" t="n">
        <f aca="false">E97</f>
        <v>973</v>
      </c>
      <c r="G97" s="15" t="n">
        <f aca="false">F97</f>
        <v>973</v>
      </c>
      <c r="H97" s="15" t="n">
        <f aca="false">G97</f>
        <v>973</v>
      </c>
      <c r="I97" s="15" t="n">
        <f aca="false">H97</f>
        <v>973</v>
      </c>
    </row>
    <row r="98" customFormat="false" ht="15" hidden="false" customHeight="false" outlineLevel="0" collapsed="false">
      <c r="A98" s="7" t="s">
        <v>143</v>
      </c>
      <c r="B98" s="12" t="n">
        <v>4366</v>
      </c>
      <c r="C98" s="12" t="n">
        <v>4864</v>
      </c>
      <c r="D98" s="12" t="n">
        <v>5428</v>
      </c>
      <c r="E98" s="15" t="n">
        <f aca="false">D98+E22-E24</f>
        <v>6061.559275</v>
      </c>
      <c r="F98" s="15" t="n">
        <f aca="false">E98+F22-F24</f>
        <v>6759.23540590645</v>
      </c>
      <c r="G98" s="15" t="n">
        <f aca="false">F98+G22-G24</f>
        <v>7535.2944993529</v>
      </c>
      <c r="H98" s="15" t="n">
        <f aca="false">G98+H22-H24</f>
        <v>8373.32616660684</v>
      </c>
      <c r="I98" s="15" t="n">
        <f aca="false">H98+I22-I24</f>
        <v>9287.25110129138</v>
      </c>
    </row>
    <row r="99" customFormat="false" ht="15" hidden="false" customHeight="false" outlineLevel="0" collapsed="false">
      <c r="A99" s="5" t="s">
        <v>144</v>
      </c>
      <c r="B99" s="17" t="n">
        <f aca="false">B97+B98</f>
        <v>5339</v>
      </c>
      <c r="C99" s="17" t="n">
        <f aca="false">C97+C98</f>
        <v>5837</v>
      </c>
      <c r="D99" s="17" t="n">
        <f aca="false">D97+D98</f>
        <v>6401</v>
      </c>
      <c r="E99" s="17" t="n">
        <f aca="false">E97+E98</f>
        <v>7034.559275</v>
      </c>
      <c r="F99" s="17" t="n">
        <f aca="false">F97+F98</f>
        <v>7732.23540590645</v>
      </c>
      <c r="G99" s="17" t="n">
        <f aca="false">G97+G98</f>
        <v>8508.2944993529</v>
      </c>
      <c r="H99" s="17" t="n">
        <f aca="false">H97+H98</f>
        <v>9346.32616660684</v>
      </c>
      <c r="I99" s="17" t="n">
        <f aca="false">I97+I98</f>
        <v>10260.2511012914</v>
      </c>
    </row>
    <row r="100" customFormat="false" ht="15" hidden="false" customHeight="false" outlineLevel="0" collapsed="false">
      <c r="A100" s="5" t="s">
        <v>145</v>
      </c>
      <c r="B100" s="19" t="n">
        <f aca="false">B96+B99</f>
        <v>9219</v>
      </c>
      <c r="C100" s="19" t="n">
        <f aca="false">C96+C99</f>
        <v>9489</v>
      </c>
      <c r="D100" s="19" t="n">
        <f aca="false">D96+D99</f>
        <v>9889</v>
      </c>
      <c r="E100" s="19" t="n">
        <f aca="false">E96+E99</f>
        <v>10357.490839</v>
      </c>
      <c r="F100" s="19" t="n">
        <f aca="false">F96+F99</f>
        <v>10886.4620993243</v>
      </c>
      <c r="G100" s="19" t="n">
        <f aca="false">G96+G99</f>
        <v>11491.571949708</v>
      </c>
      <c r="H100" s="19" t="n">
        <f aca="false">H96+H99</f>
        <v>12157.1511022279</v>
      </c>
      <c r="I100" s="19" t="n">
        <f aca="false">I96+I99</f>
        <v>12893.3873384565</v>
      </c>
    </row>
    <row r="102" customFormat="false" ht="15" hidden="false" customHeight="false" outlineLevel="0" collapsed="false">
      <c r="A102" s="13" t="s">
        <v>146</v>
      </c>
      <c r="B102" s="14"/>
      <c r="C102" s="14"/>
      <c r="D102" s="14"/>
      <c r="E102" s="14"/>
      <c r="F102" s="14"/>
      <c r="G102" s="14"/>
      <c r="H102" s="14"/>
      <c r="I102" s="14"/>
    </row>
    <row r="103" customFormat="false" ht="15" hidden="false" customHeight="false" outlineLevel="0" collapsed="false">
      <c r="A103" s="7" t="s">
        <v>147</v>
      </c>
      <c r="B103" s="20" t="n">
        <f aca="false">B89-B100</f>
        <v>0</v>
      </c>
      <c r="C103" s="20" t="n">
        <f aca="false">C89-C100</f>
        <v>0</v>
      </c>
      <c r="D103" s="20" t="n">
        <f aca="false">D89-D100</f>
        <v>0</v>
      </c>
      <c r="E103" s="20" t="n">
        <f aca="false">E89-E100</f>
        <v>0</v>
      </c>
      <c r="F103" s="20" t="n">
        <f aca="false">F89-F100</f>
        <v>0</v>
      </c>
      <c r="G103" s="20" t="n">
        <f aca="false">G89-G100</f>
        <v>0</v>
      </c>
      <c r="H103" s="20" t="n">
        <f aca="false">H89-H100</f>
        <v>0</v>
      </c>
      <c r="I103" s="20" t="n">
        <f aca="false">I89-I100</f>
        <v>0</v>
      </c>
    </row>
    <row r="104" customFormat="false" ht="15" hidden="false" customHeight="false" outlineLevel="0" collapsed="false">
      <c r="A104" s="7" t="s">
        <v>148</v>
      </c>
      <c r="B104" s="21"/>
      <c r="C104" s="20" t="n">
        <f aca="false">C82-C79</f>
        <v>0</v>
      </c>
      <c r="D104" s="20" t="n">
        <f aca="false">D82-D79</f>
        <v>0</v>
      </c>
      <c r="E104" s="20" t="n">
        <f aca="false">E82-E79</f>
        <v>0</v>
      </c>
      <c r="F104" s="20" t="n">
        <f aca="false">F82-F79</f>
        <v>0</v>
      </c>
      <c r="G104" s="20" t="n">
        <f aca="false">G82-G79</f>
        <v>0</v>
      </c>
      <c r="H104" s="20" t="n">
        <f aca="false">H82-H79</f>
        <v>0</v>
      </c>
      <c r="I104" s="20" t="n">
        <f aca="false">I82-I79</f>
        <v>0</v>
      </c>
    </row>
    <row r="105" customFormat="false" ht="15" hidden="false" customHeight="false" outlineLevel="0" collapsed="false">
      <c r="A105" s="7" t="s">
        <v>149</v>
      </c>
      <c r="B105" s="20" t="n">
        <f aca="false">B93+B94-B64</f>
        <v>0</v>
      </c>
      <c r="C105" s="20" t="n">
        <f aca="false">C93+C94-C64</f>
        <v>0</v>
      </c>
      <c r="D105" s="20" t="n">
        <f aca="false">D93+D94-D64</f>
        <v>0</v>
      </c>
      <c r="E105" s="20" t="n">
        <f aca="false">E93+E94-E64</f>
        <v>0</v>
      </c>
      <c r="F105" s="20" t="n">
        <f aca="false">F93+F94-F64</f>
        <v>0</v>
      </c>
      <c r="G105" s="20" t="n">
        <f aca="false">G93+G94-G64</f>
        <v>0</v>
      </c>
      <c r="H105" s="20" t="n">
        <f aca="false">H93+H94-H64</f>
        <v>0</v>
      </c>
      <c r="I105" s="20" t="n">
        <f aca="false">I93+I94-I64</f>
        <v>0</v>
      </c>
    </row>
    <row r="107" customFormat="false" ht="15" hidden="false" customHeight="false" outlineLevel="0" collapsed="false">
      <c r="A107" s="5" t="s">
        <v>150</v>
      </c>
      <c r="B107" s="22" t="str">
        <f aca="false">IF(SUMPRODUCT(ABS(B103:I105))&lt;0.5,"OK","ERROR - see checks above")</f>
        <v>OK</v>
      </c>
    </row>
    <row r="109" customFormat="false" ht="15" hidden="false" customHeight="false" outlineLevel="0" collapsed="false">
      <c r="A109" s="4" t="s">
        <v>151</v>
      </c>
    </row>
    <row r="110" customFormat="false" ht="15" hidden="false" customHeight="false" outlineLevel="0" collapsed="false">
      <c r="A110" s="4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2026-08-31T09:01:40Z</dcterms:created>
  <dc:creator>openpyxl</dc:creator>
  <dc:description/>
  <dc:language>en-US</dc:language>
  <cp:lastModifiedBy/>
  <dcterms:modified xsi:type="dcterms:W3CDTF">2026-08-31T09:01:40Z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