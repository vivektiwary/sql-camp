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ources and Uses" sheetId="3" state="visible" r:id="rId5"/>
    <sheet name="Model" sheetId="4" state="visible" r:id="rId6"/>
    <sheet name="Returns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<sst xmlns="http://schemas.openxmlformats.org/spreadsheetml/2006/main" count="190" uniqueCount="180">
  <si>
    <t xml:space="preserve">Kaveri Retail Ltd - leveraged buyout model</t>
  </si>
  <si>
    <t xml:space="preserve">How to read this workbook</t>
  </si>
  <si>
    <t xml:space="preserve">Blue text  = a hardcoded input. Every assumption in the model is blue, and blue is the only</t>
  </si>
  <si>
    <t xml:space="preserve">font colour you should ever type over.</t>
  </si>
  <si>
    <t xml:space="preserve">Black text = a formula. If you type over black text you have broken the model.</t>
  </si>
  <si>
    <t xml:space="preserve">Green text = a link to another sheet in this workbook.</t>
  </si>
  <si>
    <t xml:space="preserve">Yellow fill = the checks block. It must read zero.</t>
  </si>
  <si>
    <t xml:space="preserve">What this is</t>
  </si>
  <si>
    <t xml:space="preserve">A five-year LBO: sources and uses, an operating and debt model with a cash sweep, sponsor</t>
  </si>
  <si>
    <t xml:space="preserve">returns with attribution, a paper-LBO drill, and IRR sensitivity.</t>
  </si>
  <si>
    <t xml:space="preserve">Sheets</t>
  </si>
  <si>
    <t xml:space="preserve">Assumptions        what you pay, how much you borrow, what you sell for</t>
  </si>
  <si>
    <t xml:space="preserve">Sources and Uses   where the money comes from and where it goes. Must balance.</t>
  </si>
  <si>
    <t xml:space="preserve">Model              operating forecast, interest, cash sweep, covenant test</t>
  </si>
  <si>
    <t xml:space="preserve">Returns            IRR, money multiple, and where the value actually came from</t>
  </si>
  <si>
    <t xml:space="preserve">Sensitivity        IRR and money multiple across entry and exit multiples</t>
  </si>
  <si>
    <t xml:space="preserve">Things worth noticing</t>
  </si>
  <si>
    <t xml:space="preserve">1. The offer premium is an OUTPUT (Assumptions!B26), not an input. You decide what you can</t>
  </si>
  <si>
    <t xml:space="preserve">pay from the returns you need; the premium is what falls out. Sponsors think this way</t>
  </si>
  <si>
    <t xml:space="preserve">round and it is worth internalising early.</t>
  </si>
  <si>
    <t xml:space="preserve">2. Interest is charged on OPENING debt. Charging it on average debt makes the sweep circular:</t>
  </si>
  <si>
    <t xml:space="preserve">interest depends on debt, debt depends on cash flow, cash flow depends on interest.</t>
  </si>
  <si>
    <t xml:space="preserve">Banking models solve that with iterative calculation. This one avoids it. Both are valid;</t>
  </si>
  <si>
    <t xml:space="preserve">know why you chose yours.</t>
  </si>
  <si>
    <t xml:space="preserve">3. This company holds more cash than debt, so the deal is funded partly with its own balance</t>
  </si>
  <si>
    <t xml:space="preserve">sheet. That is normal, and it is why the sponsor cheque is smaller than the purchase price.</t>
  </si>
  <si>
    <t xml:space="preserve">4. Look at the attribution block on the Returns sheet before you look at the IRR. A deal that</t>
  </si>
  <si>
    <t xml:space="preserve">makes its money from multiple expansion made it from luck. A deal that makes it from EBITDA</t>
  </si>
  <si>
    <t xml:space="preserve">growth and debt paydown made it from work. Investment committees ask about this split.</t>
  </si>
  <si>
    <t xml:space="preserve">5. The covenant row is not decoration. Run a downside case - cut EBITDA growth to zero - and</t>
  </si>
  <si>
    <t xml:space="preserve">find the year it breaches. That year is the deliverable of a credit review.</t>
  </si>
  <si>
    <t xml:space="preserve">The default deal does not work, and that is the point</t>
  </si>
  <si>
    <t xml:space="preserve">At 11x entry the sponsor IRR is about 9%. No private equity fund accepts that. The model is</t>
  </si>
  <si>
    <t xml:space="preserve">not broken - it is telling you that a 14% premium for a cash-rich, low-margin retailer does</t>
  </si>
  <si>
    <t xml:space="preserve">not clear a 20% hurdle. Open the Sensitivity sheet: you would need to enter at about 9x, which</t>
  </si>
  <si>
    <t xml:space="preserve">means offering close to the undisturbed share price, which means the board says no. That whole</t>
  </si>
  <si>
    <t xml:space="preserve">chain of reasoning is a real deal conversation, and you just had it with a spreadsheet.</t>
  </si>
  <si>
    <t xml:space="preserve">Try this</t>
  </si>
  <si>
    <t xml:space="preserve">Set the exit multiple equal to the entry multiple (it already is). Now the returns come only</t>
  </si>
  <si>
    <t xml:space="preserve">from growth and deleveraging - no help from the market. If the IRR still clears 20%, the deal</t>
  </si>
  <si>
    <t xml:space="preserve">stands on its own. If it only works at a higher exit multiple, you are betting on the market,</t>
  </si>
  <si>
    <t xml:space="preserve">and you should say so out loud rather than burying it in a cell.</t>
  </si>
  <si>
    <t xml:space="preserve">Kaveri Retail Ltd (KVRA) - LBO assumptions</t>
  </si>
  <si>
    <t xml:space="preserve">Rs millions. Assumed close 31-Mar-2026, five-year hold to 31-Mar-2031.</t>
  </si>
  <si>
    <t xml:space="preserve">Input</t>
  </si>
  <si>
    <t xml:space="preserve">Value</t>
  </si>
  <si>
    <t xml:space="preserve">Note</t>
  </si>
  <si>
    <t xml:space="preserve">LTM EBITDA at entry</t>
  </si>
  <si>
    <t xml:space="preserve">FY26 actual</t>
  </si>
  <si>
    <t xml:space="preserve">Entry EV / EBITDA multiple</t>
  </si>
  <si>
    <t xml:space="preserve">What you are willing to pay. The premium falls out of this.</t>
  </si>
  <si>
    <t xml:space="preserve">Entry leverage (x EBITDA)</t>
  </si>
  <si>
    <t xml:space="preserve">How much debt the lenders will provide</t>
  </si>
  <si>
    <t xml:space="preserve">Transaction fees (% of EV)</t>
  </si>
  <si>
    <t xml:space="preserve">Advisory, financing and legal</t>
  </si>
  <si>
    <t xml:space="preserve">Interest rate on term loan</t>
  </si>
  <si>
    <t xml:space="preserve">Floating rate plus margin</t>
  </si>
  <si>
    <t xml:space="preserve">Mandatory amortisation (% of original)</t>
  </si>
  <si>
    <t xml:space="preserve">Contractual repayment each year</t>
  </si>
  <si>
    <t xml:space="preserve">Cash sweep (% of surplus)</t>
  </si>
  <si>
    <t xml:space="preserve">Share of free cash flow that must repay debt</t>
  </si>
  <si>
    <t xml:space="preserve">Tax rate</t>
  </si>
  <si>
    <t xml:space="preserve">Effective rate</t>
  </si>
  <si>
    <t xml:space="preserve">Exit EV / EBITDA multiple</t>
  </si>
  <si>
    <t xml:space="preserve">Assume you sell at what you paid. Anything better is luck.</t>
  </si>
  <si>
    <t xml:space="preserve">Hold period (years)</t>
  </si>
  <si>
    <t xml:space="preserve">Existing debt refinanced</t>
  </si>
  <si>
    <t xml:space="preserve">Balance sheet at 31-Mar-2026</t>
  </si>
  <si>
    <t xml:space="preserve">Cash on the balance sheet</t>
  </si>
  <si>
    <t xml:space="preserve">Balance sheet at 31-Mar-2026, used to fund the deal</t>
  </si>
  <si>
    <t xml:space="preserve">Shares outstanding (m)</t>
  </si>
  <si>
    <t xml:space="preserve">dim_company.shares_out_m</t>
  </si>
  <si>
    <t xml:space="preserve">Share price before the deal (Rs)</t>
  </si>
  <si>
    <t xml:space="preserve">Close on 31-Mar-2026</t>
  </si>
  <si>
    <t xml:space="preserve">DERIVED FROM THE ABOVE</t>
  </si>
  <si>
    <t xml:space="preserve">Entry enterprise value</t>
  </si>
  <si>
    <t xml:space="preserve">New term loan</t>
  </si>
  <si>
    <t xml:space="preserve">Transaction fees</t>
  </si>
  <si>
    <t xml:space="preserve">Equity purchase price</t>
  </si>
  <si>
    <t xml:space="preserve">enterprise value plus cash acquired less debt assumed</t>
  </si>
  <si>
    <t xml:space="preserve">Implied offer per share (Rs)</t>
  </si>
  <si>
    <t xml:space="preserve">Implied premium to the undisturbed price</t>
  </si>
  <si>
    <t xml:space="preserve">The premium is an OUTPUT, not an input. Raise the entry multiple and you can</t>
  </si>
  <si>
    <t xml:space="preserve">offer more; the returns then have to survive it. That trade-off is the whole job.</t>
  </si>
  <si>
    <t xml:space="preserve">Sources and uses of funds</t>
  </si>
  <si>
    <t xml:space="preserve">USES</t>
  </si>
  <si>
    <t xml:space="preserve">Rs m</t>
  </si>
  <si>
    <t xml:space="preserve">% of total</t>
  </si>
  <si>
    <t xml:space="preserve">Purchase of equity</t>
  </si>
  <si>
    <t xml:space="preserve">Refinance existing debt</t>
  </si>
  <si>
    <t xml:space="preserve">Total uses</t>
  </si>
  <si>
    <t xml:space="preserve">SOURCES</t>
  </si>
  <si>
    <t xml:space="preserve">x EBITDA</t>
  </si>
  <si>
    <t xml:space="preserve">New term loan B</t>
  </si>
  <si>
    <t xml:space="preserve">Sponsor equity</t>
  </si>
  <si>
    <t xml:space="preserve">Total sources</t>
  </si>
  <si>
    <t xml:space="preserve">CHECK: sources less uses</t>
  </si>
  <si>
    <t xml:space="preserve">must be zero, always, before anything else is believed</t>
  </si>
  <si>
    <t xml:space="preserve">Equity as % of total capitalisation</t>
  </si>
  <si>
    <t xml:space="preserve">Opening net debt / EBITDA</t>
  </si>
  <si>
    <t xml:space="preserve">Kaveri Retail Ltd - LBO operating and debt model</t>
  </si>
  <si>
    <t xml:space="preserve">Rs millions. Operating forecast carried over from the three-statement model.</t>
  </si>
  <si>
    <t xml:space="preserve">Fiscal year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</si>
  <si>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</si>
  <si>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</si>
  <si>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</si>
  <si>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</si>
  <si>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</si>
  <si>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OPERATING FORECAST</t>
  </si>
  <si>
    <t xml:space="preserve">EBITDA</t>
  </si>
  <si>
    <t xml:space="preserve">from workbook 01, Model!E13:I13</t>
  </si>
  <si>
    <t xml:space="preserve">Depreciation and amortisation</t>
  </si>
  <si>
    <t xml:space="preserve">Capital expenditure</t>
  </si>
  <si>
    <t xml:space="preserve">Change in working capital (cash impact)</t>
  </si>
  <si>
    <t xml:space="preserve">EBIT</t>
  </si>
  <si>
    <t xml:space="preserve">DEBT SCHEDULE AND CASH SWEEP</t>
  </si>
  <si>
    <t xml:space="preserve">Opening term loan</t>
  </si>
  <si>
    <t xml:space="preserve">Interest expense</t>
  </si>
  <si>
    <t xml:space="preserve">Profit before tax</t>
  </si>
  <si>
    <t xml:space="preserve">Tax</t>
  </si>
  <si>
    <t xml:space="preserve">Net income</t>
  </si>
  <si>
    <t xml:space="preserve">Free cash flow before debt service</t>
  </si>
  <si>
    <t xml:space="preserve">Mandatory amortisation</t>
  </si>
  <si>
    <t xml:space="preserve">Cash sweep</t>
  </si>
  <si>
    <t xml:space="preserve">Closing term loan</t>
  </si>
  <si>
    <t xml:space="preserve">Cash retained in the business</t>
  </si>
  <si>
    <t xml:space="preserve">Net debt</t>
  </si>
  <si>
    <t xml:space="preserve">  Net debt / EBITDA</t>
  </si>
  <si>
    <t xml:space="preserve">  EBITDA / interest (interest cover)</t>
  </si>
  <si>
    <t xml:space="preserve">  Covenant: net debt / EBITDA must stay below</t>
  </si>
  <si>
    <t xml:space="preserve">  Covenant test</t>
  </si>
  <si>
    <t xml:space="preserve">Sponsor returns</t>
  </si>
  <si>
    <t xml:space="preserve">EXIT</t>
  </si>
  <si>
    <t xml:space="preserve">Exit year EBITDA</t>
  </si>
  <si>
    <t xml:space="preserve">Exit multiple</t>
  </si>
  <si>
    <t xml:space="preserve">Exit enterprise value</t>
  </si>
  <si>
    <t xml:space="preserve">Less: net debt at exit</t>
  </si>
  <si>
    <t xml:space="preserve">Equity value at exit</t>
  </si>
  <si>
    <t xml:space="preserve">CASH FLOWS TO THE SPONSOR</t>
  </si>
  <si>
    <t xml:space="preserve">Close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</si>
  <si>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</si>
  <si>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</si>
  <si>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</si>
  <si>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</si>
  <si>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</si>
  <si>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Equity in / (out)</t>
  </si>
  <si>
    <t xml:space="preserve">Money multiple (MoM)</t>
  </si>
  <si>
    <t xml:space="preserve">Internal rate of return (IRR)</t>
  </si>
  <si>
    <t xml:space="preserve">  IRR cross-check from the multiple</t>
  </si>
  <si>
    <t xml:space="preserve">should equal the IRR above when there are no interim cash flows</t>
  </si>
  <si>
    <t xml:space="preserve">WHERE THE MONEY CAME FROM</t>
  </si>
  <si>
    <t xml:space="preserve">Value created for the sponsor</t>
  </si>
  <si>
    <t xml:space="preserve">  EBITDA growth, held at the entry multiple</t>
  </si>
  <si>
    <t xml:space="preserve">this is operational work - it is the part you control</t>
  </si>
  <si>
    <t xml:space="preserve">  Multiple expansion, on exit EBITDA</t>
  </si>
  <si>
    <t xml:space="preserve">this is the market being kind to you - it is luck</t>
  </si>
  <si>
    <t xml:space="preserve">  Debt paydown and cash build</t>
  </si>
  <si>
    <t xml:space="preserve">the company's own cash flow repaying the borrowing</t>
  </si>
  <si>
    <t xml:space="preserve">  Fees and other</t>
  </si>
  <si>
    <t xml:space="preserve">Total</t>
  </si>
  <si>
    <t xml:space="preserve">CHECK: total less value created</t>
  </si>
  <si>
    <t xml:space="preserve">THE PAPER LBO  - practise this until you can do it out loud in five minutes</t>
  </si>
  <si>
    <t xml:space="preserve">Entry EBITDA</t>
  </si>
  <si>
    <t xml:space="preserve">Entry multiple</t>
  </si>
  <si>
    <t xml:space="preserve">Debt (x EBITDA)</t>
  </si>
  <si>
    <t xml:space="preserve">Debt raised</t>
  </si>
  <si>
    <t xml:space="preserve">EBITDA in year 5</t>
  </si>
  <si>
    <t xml:space="preserve">Debt repaid over the hold</t>
  </si>
  <si>
    <t xml:space="preserve">Debt at exit</t>
  </si>
  <si>
    <t xml:space="preserve">Equity at exit</t>
  </si>
  <si>
    <t xml:space="preserve">Money multiple</t>
  </si>
  <si>
    <t xml:space="preserve">IRR (5 years)</t>
  </si>
  <si>
    <t xml:space="preserve">Memorise the mapping: over five years 2.0x is about 15% IRR, 2.5x about 20%,</t>
  </si>
  <si>
    <t xml:space="preserve">3.0x about 25%, 4.0x about 32%. Interviewers expect it instantly.</t>
  </si>
  <si>
    <t xml:space="preserve">Sensitivity - sponsor IRR</t>
  </si>
  <si>
    <t xml:space="preserve">Entry multiple down the side, exit multiple across the top.</t>
  </si>
  <si>
    <t xml:space="preserve">Debt raised is a multiple of EBITDA, so it does not move with the entry multiple -</t>
  </si>
  <si>
    <t xml:space="preserve">only the size of the equity cheque does. That is why this grid is exact and not an</t>
  </si>
  <si>
    <t xml:space="preserve">approximation.</t>
  </si>
  <si>
    <t xml:space="preserve">Entry \ Exit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</si>
</sst>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\x"/>
    <numFmt numFmtId="167" formatCode="0.0%;\(0.0%\);\-"/>
    <numFmt numFmtId="168" formatCode="0"/>
    <numFmt numFmtId="169" formatCode="#,##0.0;\(#,##0.0\);\-"/>
    <numFmt numFmtId="170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3" t="s">
        <v>28</v>
      </c>
    </row>
    <row r="34" customFormat="false" ht="15" hidden="false" customHeight="false" outlineLevel="0" collapsed="false">
      <c r="A34" s="3" t="s">
        <v>29</v>
      </c>
    </row>
    <row r="35" customFormat="false" ht="15" hidden="false" customHeight="false" outlineLevel="0" collapsed="false">
      <c r="A35" s="3" t="s">
        <v>30</v>
      </c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2" t="s">
        <v>31</v>
      </c>
    </row>
    <row r="38" customFormat="false" ht="15" hidden="false" customHeight="false" outlineLevel="0" collapsed="false">
      <c r="A38" s="3" t="s">
        <v>32</v>
      </c>
    </row>
    <row r="39" customFormat="false" ht="15" hidden="false" customHeight="false" outlineLevel="0" collapsed="false">
      <c r="A39" s="3" t="s">
        <v>33</v>
      </c>
    </row>
    <row r="40" customFormat="false" ht="15" hidden="false" customHeight="false" outlineLevel="0" collapsed="false">
      <c r="A40" s="3" t="s">
        <v>34</v>
      </c>
    </row>
    <row r="41" customFormat="false" ht="15" hidden="false" customHeight="false" outlineLevel="0" collapsed="false">
      <c r="A41" s="3" t="s">
        <v>35</v>
      </c>
    </row>
    <row r="42" customFormat="false" ht="15" hidden="false" customHeight="false" outlineLevel="0" collapsed="false">
      <c r="A42" s="3" t="s">
        <v>36</v>
      </c>
    </row>
    <row r="43" customFormat="false" ht="15" hidden="false" customHeight="false" outlineLevel="0" collapsed="false">
      <c r="A43" s="3"/>
    </row>
    <row r="44" customFormat="false" ht="15" hidden="false" customHeight="false" outlineLevel="0" collapsed="false">
      <c r="A44" s="2" t="s">
        <v>37</v>
      </c>
    </row>
    <row r="45" customFormat="false" ht="15" hidden="false" customHeight="false" outlineLevel="0" collapsed="false">
      <c r="A45" s="3" t="s">
        <v>38</v>
      </c>
    </row>
    <row r="46" customFormat="false" ht="15" hidden="false" customHeight="false" outlineLevel="0" collapsed="false">
      <c r="A46" s="3" t="s">
        <v>39</v>
      </c>
    </row>
    <row r="47" customFormat="false" ht="15" hidden="false" customHeight="false" outlineLevel="0" collapsed="false">
      <c r="A47" s="3" t="s">
        <v>40</v>
      </c>
    </row>
    <row r="48" customFormat="false" ht="15" hidden="false" customHeight="false" outlineLevel="0" collapsed="false">
      <c r="A48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4" t="s">
        <v>43</v>
      </c>
    </row>
    <row r="4" customFormat="false" ht="15" hidden="false" customHeight="false" outlineLevel="0" collapsed="false">
      <c r="A4" s="5" t="s">
        <v>44</v>
      </c>
      <c r="B4" s="5" t="s">
        <v>45</v>
      </c>
      <c r="C4" s="5" t="s">
        <v>46</v>
      </c>
    </row>
    <row r="5" customFormat="false" ht="15" hidden="false" customHeight="false" outlineLevel="0" collapsed="false">
      <c r="A5" s="6" t="s">
        <v>47</v>
      </c>
      <c r="B5" s="7" t="n">
        <v>1243</v>
      </c>
      <c r="C5" s="4" t="s">
        <v>48</v>
      </c>
    </row>
    <row r="6" customFormat="false" ht="15" hidden="false" customHeight="false" outlineLevel="0" collapsed="false">
      <c r="A6" s="6" t="s">
        <v>49</v>
      </c>
      <c r="B6" s="8" t="n">
        <v>11</v>
      </c>
      <c r="C6" s="4" t="s">
        <v>50</v>
      </c>
    </row>
    <row r="7" customFormat="false" ht="15" hidden="false" customHeight="false" outlineLevel="0" collapsed="false">
      <c r="A7" s="6" t="s">
        <v>51</v>
      </c>
      <c r="B7" s="8" t="n">
        <v>4</v>
      </c>
      <c r="C7" s="4" t="s">
        <v>52</v>
      </c>
    </row>
    <row r="8" customFormat="false" ht="15" hidden="false" customHeight="false" outlineLevel="0" collapsed="false">
      <c r="A8" s="6" t="s">
        <v>53</v>
      </c>
      <c r="B8" s="9" t="n">
        <v>0.02</v>
      </c>
      <c r="C8" s="4" t="s">
        <v>54</v>
      </c>
    </row>
    <row r="9" customFormat="false" ht="15" hidden="false" customHeight="false" outlineLevel="0" collapsed="false">
      <c r="A9" s="6" t="s">
        <v>55</v>
      </c>
      <c r="B9" s="9" t="n">
        <v>0.11</v>
      </c>
      <c r="C9" s="4" t="s">
        <v>56</v>
      </c>
    </row>
    <row r="10" customFormat="false" ht="15" hidden="false" customHeight="false" outlineLevel="0" collapsed="false">
      <c r="A10" s="6" t="s">
        <v>57</v>
      </c>
      <c r="B10" s="9" t="n">
        <v>0.01</v>
      </c>
      <c r="C10" s="4" t="s">
        <v>58</v>
      </c>
    </row>
    <row r="11" customFormat="false" ht="15" hidden="false" customHeight="false" outlineLevel="0" collapsed="false">
      <c r="A11" s="6" t="s">
        <v>59</v>
      </c>
      <c r="B11" s="9" t="n">
        <v>1</v>
      </c>
      <c r="C11" s="4" t="s">
        <v>60</v>
      </c>
    </row>
    <row r="12" customFormat="false" ht="15" hidden="false" customHeight="false" outlineLevel="0" collapsed="false">
      <c r="A12" s="6" t="s">
        <v>61</v>
      </c>
      <c r="B12" s="9" t="n">
        <v>0.25</v>
      </c>
      <c r="C12" s="4" t="s">
        <v>62</v>
      </c>
    </row>
    <row r="13" customFormat="false" ht="15" hidden="false" customHeight="false" outlineLevel="0" collapsed="false">
      <c r="A13" s="6" t="s">
        <v>63</v>
      </c>
      <c r="B13" s="8" t="n">
        <v>11</v>
      </c>
      <c r="C13" s="4" t="s">
        <v>64</v>
      </c>
    </row>
    <row r="14" customFormat="false" ht="15" hidden="false" customHeight="false" outlineLevel="0" collapsed="false">
      <c r="A14" s="6" t="s">
        <v>65</v>
      </c>
      <c r="B14" s="10" t="n">
        <v>5</v>
      </c>
      <c r="C14" s="4"/>
    </row>
    <row r="15" customFormat="false" ht="15" hidden="false" customHeight="false" outlineLevel="0" collapsed="false">
      <c r="A15" s="6" t="s">
        <v>66</v>
      </c>
      <c r="B15" s="7" t="n">
        <v>2412</v>
      </c>
      <c r="C15" s="4" t="s">
        <v>67</v>
      </c>
    </row>
    <row r="16" customFormat="false" ht="15" hidden="false" customHeight="false" outlineLevel="0" collapsed="false">
      <c r="A16" s="6" t="s">
        <v>68</v>
      </c>
      <c r="B16" s="7" t="n">
        <v>3661</v>
      </c>
      <c r="C16" s="4" t="s">
        <v>69</v>
      </c>
    </row>
    <row r="17" customFormat="false" ht="15" hidden="false" customHeight="false" outlineLevel="0" collapsed="false">
      <c r="A17" s="6" t="s">
        <v>70</v>
      </c>
      <c r="B17" s="11" t="n">
        <v>87.17</v>
      </c>
      <c r="C17" s="4" t="s">
        <v>71</v>
      </c>
    </row>
    <row r="18" customFormat="false" ht="15" hidden="false" customHeight="false" outlineLevel="0" collapsed="false">
      <c r="A18" s="6" t="s">
        <v>72</v>
      </c>
      <c r="B18" s="12" t="n">
        <v>149.6865</v>
      </c>
      <c r="C18" s="4" t="s">
        <v>73</v>
      </c>
    </row>
    <row r="20" customFormat="false" ht="15" hidden="false" customHeight="false" outlineLevel="0" collapsed="false">
      <c r="A20" s="13" t="s">
        <v>74</v>
      </c>
    </row>
    <row r="21" customFormat="false" ht="15" hidden="false" customHeight="false" outlineLevel="0" collapsed="false">
      <c r="A21" s="6" t="s">
        <v>75</v>
      </c>
      <c r="B21" s="14" t="n">
        <f aca="false">B5*B6</f>
        <v>13673</v>
      </c>
    </row>
    <row r="22" customFormat="false" ht="15" hidden="false" customHeight="false" outlineLevel="0" collapsed="false">
      <c r="A22" s="6" t="s">
        <v>76</v>
      </c>
      <c r="B22" s="14" t="n">
        <f aca="false">B5*B7</f>
        <v>4972</v>
      </c>
    </row>
    <row r="23" customFormat="false" ht="15" hidden="false" customHeight="false" outlineLevel="0" collapsed="false">
      <c r="A23" s="6" t="s">
        <v>77</v>
      </c>
      <c r="B23" s="14" t="n">
        <f aca="false">B21*B8</f>
        <v>273.46</v>
      </c>
    </row>
    <row r="24" customFormat="false" ht="15" hidden="false" customHeight="false" outlineLevel="0" collapsed="false">
      <c r="A24" s="6" t="s">
        <v>78</v>
      </c>
      <c r="B24" s="14" t="n">
        <f aca="false">B21+B16-B15</f>
        <v>14922</v>
      </c>
      <c r="C24" s="4" t="s">
        <v>79</v>
      </c>
    </row>
    <row r="25" customFormat="false" ht="15" hidden="false" customHeight="false" outlineLevel="0" collapsed="false">
      <c r="A25" s="5" t="s">
        <v>80</v>
      </c>
      <c r="B25" s="15" t="n">
        <f aca="false">B24/B17</f>
        <v>171.182746357692</v>
      </c>
    </row>
    <row r="26" customFormat="false" ht="15" hidden="false" customHeight="false" outlineLevel="0" collapsed="false">
      <c r="A26" s="5" t="s">
        <v>81</v>
      </c>
      <c r="B26" s="16" t="n">
        <f aca="false">B25/B18-1</f>
        <v>0.14360845071327</v>
      </c>
    </row>
    <row r="27" customFormat="false" ht="15" hidden="false" customHeight="false" outlineLevel="0" collapsed="false">
      <c r="A27" s="4" t="s">
        <v>82</v>
      </c>
    </row>
    <row r="28" customFormat="false" ht="15" hidden="false" customHeight="false" outlineLevel="0" collapsed="false">
      <c r="A28" s="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4"/>
  </cols>
  <sheetData>
    <row r="1" customFormat="false" ht="16.15" hidden="false" customHeight="false" outlineLevel="0" collapsed="false">
      <c r="A1" s="1" t="s">
        <v>84</v>
      </c>
    </row>
    <row r="3" customFormat="false" ht="15" hidden="false" customHeight="false" outlineLevel="0" collapsed="false">
      <c r="A3" s="13" t="s">
        <v>85</v>
      </c>
      <c r="B3" s="13" t="s">
        <v>86</v>
      </c>
      <c r="C3" s="13" t="s">
        <v>87</v>
      </c>
    </row>
    <row r="4" customFormat="false" ht="15" hidden="false" customHeight="false" outlineLevel="0" collapsed="false">
      <c r="A4" s="6" t="s">
        <v>88</v>
      </c>
      <c r="B4" s="17" t="n">
        <f aca="false">Assumptions!B24</f>
        <v>14922</v>
      </c>
      <c r="C4" s="18" t="n">
        <f aca="false">B4/$B$7</f>
        <v>0.847481692419009</v>
      </c>
    </row>
    <row r="5" customFormat="false" ht="15" hidden="false" customHeight="false" outlineLevel="0" collapsed="false">
      <c r="A5" s="6" t="s">
        <v>89</v>
      </c>
      <c r="B5" s="17" t="n">
        <f aca="false">Assumptions!B15</f>
        <v>2412</v>
      </c>
      <c r="C5" s="18" t="n">
        <f aca="false">B5/$B$7</f>
        <v>0.136987390571951</v>
      </c>
    </row>
    <row r="6" customFormat="false" ht="15" hidden="false" customHeight="false" outlineLevel="0" collapsed="false">
      <c r="A6" s="6" t="s">
        <v>77</v>
      </c>
      <c r="B6" s="17" t="n">
        <f aca="false">Assumptions!B23</f>
        <v>273.46</v>
      </c>
      <c r="C6" s="18" t="n">
        <f aca="false">B6/$B$7</f>
        <v>0.0155309170090405</v>
      </c>
    </row>
    <row r="7" customFormat="false" ht="15" hidden="false" customHeight="false" outlineLevel="0" collapsed="false">
      <c r="A7" s="5" t="s">
        <v>90</v>
      </c>
      <c r="B7" s="19" t="n">
        <f aca="false">SUM(B4:B6)</f>
        <v>17607.46</v>
      </c>
      <c r="C7" s="18" t="n">
        <f aca="false">B7/$B$7</f>
        <v>1</v>
      </c>
    </row>
    <row r="9" customFormat="false" ht="15" hidden="false" customHeight="false" outlineLevel="0" collapsed="false">
      <c r="A9" s="13" t="s">
        <v>91</v>
      </c>
      <c r="B9" s="13" t="s">
        <v>86</v>
      </c>
      <c r="C9" s="13" t="s">
        <v>87</v>
      </c>
      <c r="D9" s="13" t="s">
        <v>92</v>
      </c>
    </row>
    <row r="10" customFormat="false" ht="15" hidden="false" customHeight="false" outlineLevel="0" collapsed="false">
      <c r="A10" s="6" t="s">
        <v>93</v>
      </c>
      <c r="B10" s="17" t="n">
        <f aca="false">Assumptions!B22</f>
        <v>4972</v>
      </c>
      <c r="C10" s="18" t="n">
        <f aca="false">B10/$B$13</f>
        <v>0.282380309255282</v>
      </c>
      <c r="D10" s="20" t="n">
        <f aca="false">B10/Assumptions!B5</f>
        <v>4</v>
      </c>
    </row>
    <row r="11" customFormat="false" ht="15" hidden="false" customHeight="false" outlineLevel="0" collapsed="false">
      <c r="A11" s="6" t="s">
        <v>68</v>
      </c>
      <c r="B11" s="17" t="n">
        <f aca="false">Assumptions!B16</f>
        <v>3661</v>
      </c>
      <c r="C11" s="18" t="n">
        <f aca="false">B11/$B$13</f>
        <v>0.207923232538935</v>
      </c>
    </row>
    <row r="12" customFormat="false" ht="15" hidden="false" customHeight="false" outlineLevel="0" collapsed="false">
      <c r="A12" s="5" t="s">
        <v>94</v>
      </c>
      <c r="B12" s="21" t="n">
        <f aca="false">B7-B10-B11</f>
        <v>8974.46</v>
      </c>
      <c r="C12" s="18" t="n">
        <f aca="false">B12/$B$13</f>
        <v>0.509696458205783</v>
      </c>
    </row>
    <row r="13" customFormat="false" ht="15" hidden="false" customHeight="false" outlineLevel="0" collapsed="false">
      <c r="A13" s="5" t="s">
        <v>95</v>
      </c>
      <c r="B13" s="19" t="n">
        <f aca="false">SUM(B10:B12)</f>
        <v>17607.46</v>
      </c>
      <c r="C13" s="18" t="n">
        <f aca="false">B13/$B$13</f>
        <v>1</v>
      </c>
    </row>
    <row r="15" customFormat="false" ht="15" hidden="false" customHeight="false" outlineLevel="0" collapsed="false">
      <c r="A15" s="5" t="s">
        <v>96</v>
      </c>
      <c r="B15" s="22" t="n">
        <f aca="false">B13-B7</f>
        <v>0</v>
      </c>
      <c r="D15" s="4" t="s">
        <v>97</v>
      </c>
    </row>
    <row r="17" customFormat="false" ht="15" hidden="false" customHeight="false" outlineLevel="0" collapsed="false">
      <c r="A17" s="6" t="s">
        <v>98</v>
      </c>
      <c r="B17" s="18" t="n">
        <f aca="false">B12/(B10+B12)</f>
        <v>0.64349376114082</v>
      </c>
    </row>
    <row r="18" customFormat="false" ht="15" hidden="false" customHeight="false" outlineLevel="0" collapsed="false">
      <c r="A18" s="6" t="s">
        <v>99</v>
      </c>
      <c r="B18" s="20" t="n">
        <f aca="false">B10/Assumptions!B5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4" t="s">
        <v>101</v>
      </c>
    </row>
    <row r="4" customFormat="false" ht="15" hidden="false" customHeight="false" outlineLevel="0" collapsed="false">
      <c r="A4" s="5" t="s">
        <v>102</v>
      </c>
      <c r="B4" s="23" t="s">
        <v>103</v>
      </c>
      <c r="C4" s="23" t="s">
        <v>104</v>
      </c>
      <c r="D4" s="23" t="s">
        <v>105</v>
      </c>
      <c r="E4" s="23" t="s">
        <v>106</v>
      </c>
      <c r="F4" s="23" t="s">
        <v>107</v>
      </c>
    </row>
    <row r="5" customFormat="false" ht="15" hidden="false" customHeight="false" outlineLevel="0" collapsed="false">
      <c r="A5" s="13" t="s">
        <v>108</v>
      </c>
      <c r="B5" s="24"/>
      <c r="C5" s="24"/>
      <c r="D5" s="24"/>
      <c r="E5" s="24"/>
      <c r="F5" s="24"/>
    </row>
    <row r="6" customFormat="false" ht="15" hidden="false" customHeight="false" outlineLevel="0" collapsed="false">
      <c r="A6" s="6" t="s">
        <v>109</v>
      </c>
      <c r="B6" s="7" t="n">
        <v>1317.5</v>
      </c>
      <c r="C6" s="7" t="n">
        <v>1390</v>
      </c>
      <c r="D6" s="7" t="n">
        <v>1481.1</v>
      </c>
      <c r="E6" s="7" t="n">
        <v>1547.8</v>
      </c>
      <c r="F6" s="7" t="n">
        <v>1633.2</v>
      </c>
      <c r="G6" s="4" t="s">
        <v>110</v>
      </c>
    </row>
    <row r="7" customFormat="false" ht="15" hidden="false" customHeight="false" outlineLevel="0" collapsed="false">
      <c r="A7" s="6" t="s">
        <v>111</v>
      </c>
      <c r="B7" s="7" t="n">
        <v>319.4</v>
      </c>
      <c r="C7" s="7" t="n">
        <v>333</v>
      </c>
      <c r="D7" s="7" t="n">
        <v>347.7</v>
      </c>
      <c r="E7" s="7" t="n">
        <v>362.4</v>
      </c>
      <c r="F7" s="7" t="n">
        <v>377.8</v>
      </c>
    </row>
    <row r="8" customFormat="false" ht="15" hidden="false" customHeight="false" outlineLevel="0" collapsed="false">
      <c r="A8" s="6" t="s">
        <v>112</v>
      </c>
      <c r="B8" s="7" t="n">
        <v>488</v>
      </c>
      <c r="C8" s="7" t="n">
        <v>514.8</v>
      </c>
      <c r="D8" s="7" t="n">
        <v>529.7</v>
      </c>
      <c r="E8" s="7" t="n">
        <v>553.6</v>
      </c>
      <c r="F8" s="7" t="n">
        <v>564</v>
      </c>
    </row>
    <row r="9" customFormat="false" ht="15" hidden="false" customHeight="false" outlineLevel="0" collapsed="false">
      <c r="A9" s="6" t="s">
        <v>113</v>
      </c>
      <c r="B9" s="7" t="n">
        <v>-61.1</v>
      </c>
      <c r="C9" s="7" t="n">
        <v>-53.1</v>
      </c>
      <c r="D9" s="7" t="n">
        <v>-22.7</v>
      </c>
      <c r="E9" s="7" t="n">
        <v>-53.5</v>
      </c>
      <c r="F9" s="7" t="n">
        <v>-49</v>
      </c>
    </row>
    <row r="10" customFormat="false" ht="15" hidden="false" customHeight="false" outlineLevel="0" collapsed="false">
      <c r="A10" s="5" t="s">
        <v>114</v>
      </c>
      <c r="B10" s="21" t="n">
        <f aca="false">B6-B7</f>
        <v>998.1</v>
      </c>
      <c r="C10" s="21" t="n">
        <f aca="false">C6-C7</f>
        <v>1057</v>
      </c>
      <c r="D10" s="21" t="n">
        <f aca="false">D6-D7</f>
        <v>1133.4</v>
      </c>
      <c r="E10" s="21" t="n">
        <f aca="false">E6-E7</f>
        <v>1185.4</v>
      </c>
      <c r="F10" s="21" t="n">
        <f aca="false">F6-F7</f>
        <v>1255.4</v>
      </c>
    </row>
    <row r="12" customFormat="false" ht="15" hidden="false" customHeight="false" outlineLevel="0" collapsed="false">
      <c r="A12" s="13" t="s">
        <v>115</v>
      </c>
      <c r="B12" s="24"/>
      <c r="C12" s="24"/>
      <c r="D12" s="24"/>
      <c r="E12" s="24"/>
      <c r="F12" s="24"/>
    </row>
    <row r="13" customFormat="false" ht="15" hidden="false" customHeight="false" outlineLevel="0" collapsed="false">
      <c r="A13" s="6" t="s">
        <v>116</v>
      </c>
      <c r="B13" s="17" t="n">
        <f aca="false">'Sources and Uses'!B10</f>
        <v>4972</v>
      </c>
      <c r="C13" s="14" t="n">
        <f aca="false">B21</f>
        <v>4863.315</v>
      </c>
      <c r="D13" s="14" t="n">
        <f aca="false">C21</f>
        <v>4706.6884875</v>
      </c>
      <c r="E13" s="14" t="n">
        <f aca="false">D21</f>
        <v>4449.64028771875</v>
      </c>
      <c r="F13" s="14" t="n">
        <f aca="false">E21</f>
        <v>4172.38561145555</v>
      </c>
    </row>
    <row r="14" customFormat="false" ht="15" hidden="false" customHeight="false" outlineLevel="0" collapsed="false">
      <c r="A14" s="6" t="s">
        <v>117</v>
      </c>
      <c r="B14" s="14" t="n">
        <f aca="false">B13*Assumptions!$B$9</f>
        <v>546.92</v>
      </c>
      <c r="C14" s="14" t="n">
        <f aca="false">C13*Assumptions!$B$9</f>
        <v>534.96465</v>
      </c>
      <c r="D14" s="14" t="n">
        <f aca="false">D13*Assumptions!$B$9</f>
        <v>517.735733625</v>
      </c>
      <c r="E14" s="14" t="n">
        <f aca="false">E13*Assumptions!$B$9</f>
        <v>489.460431649062</v>
      </c>
      <c r="F14" s="14" t="n">
        <f aca="false">F13*Assumptions!$B$9</f>
        <v>458.96241726011</v>
      </c>
    </row>
    <row r="15" customFormat="false" ht="15" hidden="false" customHeight="false" outlineLevel="0" collapsed="false">
      <c r="A15" s="6" t="s">
        <v>118</v>
      </c>
      <c r="B15" s="14" t="n">
        <f aca="false">B10-B14</f>
        <v>451.18</v>
      </c>
      <c r="C15" s="14" t="n">
        <f aca="false">C10-C14</f>
        <v>522.03535</v>
      </c>
      <c r="D15" s="14" t="n">
        <f aca="false">D10-D14</f>
        <v>615.664266375</v>
      </c>
      <c r="E15" s="14" t="n">
        <f aca="false">E10-E14</f>
        <v>695.939568350938</v>
      </c>
      <c r="F15" s="14" t="n">
        <f aca="false">F10-F14</f>
        <v>796.43758273989</v>
      </c>
    </row>
    <row r="16" customFormat="false" ht="15" hidden="false" customHeight="false" outlineLevel="0" collapsed="false">
      <c r="A16" s="6" t="s">
        <v>119</v>
      </c>
      <c r="B16" s="14" t="n">
        <f aca="false">MAX(B15,0)*Assumptions!$B$12</f>
        <v>112.795</v>
      </c>
      <c r="C16" s="14" t="n">
        <f aca="false">MAX(C15,0)*Assumptions!$B$12</f>
        <v>130.5088375</v>
      </c>
      <c r="D16" s="14" t="n">
        <f aca="false">MAX(D15,0)*Assumptions!$B$12</f>
        <v>153.91606659375</v>
      </c>
      <c r="E16" s="14" t="n">
        <f aca="false">MAX(E15,0)*Assumptions!$B$12</f>
        <v>173.984892087734</v>
      </c>
      <c r="F16" s="14" t="n">
        <f aca="false">MAX(F15,0)*Assumptions!$B$12</f>
        <v>199.109395684973</v>
      </c>
    </row>
    <row r="17" customFormat="false" ht="15" hidden="false" customHeight="false" outlineLevel="0" collapsed="false">
      <c r="A17" s="5" t="s">
        <v>120</v>
      </c>
      <c r="B17" s="21" t="n">
        <f aca="false">B15-B16</f>
        <v>338.385</v>
      </c>
      <c r="C17" s="21" t="n">
        <f aca="false">C15-C16</f>
        <v>391.5265125</v>
      </c>
      <c r="D17" s="21" t="n">
        <f aca="false">D15-D16</f>
        <v>461.74819978125</v>
      </c>
      <c r="E17" s="21" t="n">
        <f aca="false">E15-E16</f>
        <v>521.954676263203</v>
      </c>
      <c r="F17" s="21" t="n">
        <f aca="false">F15-F16</f>
        <v>597.328187054918</v>
      </c>
    </row>
    <row r="18" customFormat="false" ht="15" hidden="false" customHeight="false" outlineLevel="0" collapsed="false">
      <c r="A18" s="5" t="s">
        <v>121</v>
      </c>
      <c r="B18" s="21" t="n">
        <f aca="false">B17+B7-B8+B9</f>
        <v>108.685</v>
      </c>
      <c r="C18" s="21" t="n">
        <f aca="false">C17+C7-C8+C9</f>
        <v>156.6265125</v>
      </c>
      <c r="D18" s="21" t="n">
        <f aca="false">D17+D7-D8+D9</f>
        <v>257.04819978125</v>
      </c>
      <c r="E18" s="21" t="n">
        <f aca="false">E17+E7-E8+E9</f>
        <v>277.254676263203</v>
      </c>
      <c r="F18" s="21" t="n">
        <f aca="false">F17+F7-F8+F9</f>
        <v>362.128187054918</v>
      </c>
    </row>
    <row r="19" customFormat="false" ht="15" hidden="false" customHeight="false" outlineLevel="0" collapsed="false">
      <c r="A19" s="6" t="s">
        <v>122</v>
      </c>
      <c r="B19" s="14" t="n">
        <f aca="false">-MIN(Assumptions!$B$10*'Sources and Uses'!$B$10,B13)</f>
        <v>-49.72</v>
      </c>
      <c r="C19" s="14" t="n">
        <f aca="false">-MIN(Assumptions!$B$10*'Sources and Uses'!$B$10,C13)</f>
        <v>-49.72</v>
      </c>
      <c r="D19" s="14" t="n">
        <f aca="false">-MIN(Assumptions!$B$10*'Sources and Uses'!$B$10,D13)</f>
        <v>-49.72</v>
      </c>
      <c r="E19" s="14" t="n">
        <f aca="false">-MIN(Assumptions!$B$10*'Sources and Uses'!$B$10,E13)</f>
        <v>-49.72</v>
      </c>
      <c r="F19" s="14" t="n">
        <f aca="false">-MIN(Assumptions!$B$10*'Sources and Uses'!$B$10,F13)</f>
        <v>-49.72</v>
      </c>
    </row>
    <row r="20" customFormat="false" ht="15" hidden="false" customHeight="false" outlineLevel="0" collapsed="false">
      <c r="A20" s="6" t="s">
        <v>123</v>
      </c>
      <c r="B20" s="14" t="n">
        <f aca="false">-MIN(MAX(B18+B19,0)*Assumptions!$B$11,B13+B19)</f>
        <v>-58.9650000000001</v>
      </c>
      <c r="C20" s="14" t="n">
        <f aca="false">-MIN(MAX(C18+C19,0)*Assumptions!$B$11,C13+C19)</f>
        <v>-106.9065125</v>
      </c>
      <c r="D20" s="14" t="n">
        <f aca="false">-MIN(MAX(D18+D19,0)*Assumptions!$B$11,D13+D19)</f>
        <v>-207.32819978125</v>
      </c>
      <c r="E20" s="14" t="n">
        <f aca="false">-MIN(MAX(E18+E19,0)*Assumptions!$B$11,E13+E19)</f>
        <v>-227.534676263203</v>
      </c>
      <c r="F20" s="14" t="n">
        <f aca="false">-MIN(MAX(F18+F19,0)*Assumptions!$B$11,F13+F19)</f>
        <v>-312.408187054918</v>
      </c>
    </row>
    <row r="21" customFormat="false" ht="15" hidden="false" customHeight="false" outlineLevel="0" collapsed="false">
      <c r="A21" s="5" t="s">
        <v>124</v>
      </c>
      <c r="B21" s="21" t="n">
        <f aca="false">B13+B19+B20</f>
        <v>4863.315</v>
      </c>
      <c r="C21" s="21" t="n">
        <f aca="false">C13+C19+C20</f>
        <v>4706.6884875</v>
      </c>
      <c r="D21" s="21" t="n">
        <f aca="false">D13+D19+D20</f>
        <v>4449.64028771875</v>
      </c>
      <c r="E21" s="21" t="n">
        <f aca="false">E13+E19+E20</f>
        <v>4172.38561145555</v>
      </c>
      <c r="F21" s="21" t="n">
        <f aca="false">F13+F19+F20</f>
        <v>3810.25742440063</v>
      </c>
    </row>
    <row r="22" customFormat="false" ht="15" hidden="false" customHeight="false" outlineLevel="0" collapsed="false">
      <c r="A22" s="6" t="s">
        <v>125</v>
      </c>
      <c r="B22" s="14" t="n">
        <f aca="false">MAX(B18+B19+B20,0)</f>
        <v>0</v>
      </c>
      <c r="C22" s="14" t="n">
        <f aca="false">B22+MAX(C18+C19+C20,0)</f>
        <v>0</v>
      </c>
      <c r="D22" s="14" t="n">
        <f aca="false">C22+MAX(D18+D19+D20,0)</f>
        <v>0</v>
      </c>
      <c r="E22" s="14" t="n">
        <f aca="false">D22+MAX(E18+E19+E20,0)</f>
        <v>0</v>
      </c>
      <c r="F22" s="14" t="n">
        <f aca="false">E22+MAX(F18+F19+F20,0)</f>
        <v>0</v>
      </c>
    </row>
    <row r="23" customFormat="false" ht="15" hidden="false" customHeight="false" outlineLevel="0" collapsed="false">
      <c r="A23" s="5" t="s">
        <v>126</v>
      </c>
      <c r="B23" s="21" t="n">
        <f aca="false">B21-B22</f>
        <v>4863.315</v>
      </c>
      <c r="C23" s="21" t="n">
        <f aca="false">C21-C22</f>
        <v>4706.6884875</v>
      </c>
      <c r="D23" s="21" t="n">
        <f aca="false">D21-D22</f>
        <v>4449.64028771875</v>
      </c>
      <c r="E23" s="21" t="n">
        <f aca="false">E21-E22</f>
        <v>4172.38561145555</v>
      </c>
      <c r="F23" s="21" t="n">
        <f aca="false">F21-F22</f>
        <v>3810.25742440063</v>
      </c>
    </row>
    <row r="24" customFormat="false" ht="15" hidden="false" customHeight="false" outlineLevel="0" collapsed="false">
      <c r="A24" s="6" t="s">
        <v>127</v>
      </c>
      <c r="B24" s="20" t="n">
        <f aca="false">B23/B6</f>
        <v>3.69132068311195</v>
      </c>
      <c r="C24" s="20" t="n">
        <f aca="false">C23/C6</f>
        <v>3.38610682553957</v>
      </c>
      <c r="D24" s="20" t="n">
        <f aca="false">D23/D6</f>
        <v>3.00428079651526</v>
      </c>
      <c r="E24" s="20" t="n">
        <f aca="false">E23/E6</f>
        <v>2.69568782236435</v>
      </c>
      <c r="F24" s="20" t="n">
        <f aca="false">F23/F6</f>
        <v>2.33300111707117</v>
      </c>
    </row>
    <row r="25" customFormat="false" ht="15" hidden="false" customHeight="false" outlineLevel="0" collapsed="false">
      <c r="A25" s="6" t="s">
        <v>128</v>
      </c>
      <c r="B25" s="20" t="n">
        <f aca="false">B6/B14</f>
        <v>2.40894463541286</v>
      </c>
      <c r="C25" s="20" t="n">
        <f aca="false">C6/C14</f>
        <v>2.59830252335365</v>
      </c>
      <c r="D25" s="20" t="n">
        <f aca="false">D6/D14</f>
        <v>2.86072585647096</v>
      </c>
      <c r="E25" s="20" t="n">
        <f aca="false">E6/E14</f>
        <v>3.16225766153403</v>
      </c>
      <c r="F25" s="20" t="n">
        <f aca="false">F6/F14</f>
        <v>3.55846130005544</v>
      </c>
    </row>
    <row r="26" customFormat="false" ht="15" hidden="false" customHeight="false" outlineLevel="0" collapsed="false">
      <c r="A26" s="6" t="s">
        <v>129</v>
      </c>
      <c r="B26" s="8" t="n">
        <v>5.5</v>
      </c>
      <c r="C26" s="8" t="n">
        <v>5.5</v>
      </c>
      <c r="D26" s="8" t="n">
        <v>5.5</v>
      </c>
      <c r="E26" s="8" t="n">
        <v>5.5</v>
      </c>
      <c r="F26" s="8" t="n">
        <v>5.5</v>
      </c>
    </row>
    <row r="27" customFormat="false" ht="15" hidden="false" customHeight="false" outlineLevel="0" collapsed="false">
      <c r="A27" s="6" t="s">
        <v>130</v>
      </c>
      <c r="B27" s="25" t="str">
        <f aca="false">IF(B24&lt;B26,"PASS","BREACH")</f>
        <v>PASS</v>
      </c>
      <c r="C27" s="25" t="str">
        <f aca="false">IF(C24&lt;C26,"PASS","BREACH")</f>
        <v>PASS</v>
      </c>
      <c r="D27" s="25" t="str">
        <f aca="false">IF(D24&lt;D26,"PASS","BREACH")</f>
        <v>PASS</v>
      </c>
      <c r="E27" s="25" t="str">
        <f aca="false">IF(E24&lt;E26,"PASS","BREACH")</f>
        <v>PASS</v>
      </c>
      <c r="F27" s="25" t="str">
        <f aca="false">IF(F24&lt;F26,"PASS","BREACH")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3"/>
  </cols>
  <sheetData>
    <row r="1" customFormat="false" ht="16.15" hidden="false" customHeight="false" outlineLevel="0" collapsed="false">
      <c r="A1" s="1" t="s">
        <v>131</v>
      </c>
    </row>
    <row r="3" customFormat="false" ht="15" hidden="false" customHeight="false" outlineLevel="0" collapsed="false">
      <c r="A3" s="13" t="s">
        <v>132</v>
      </c>
    </row>
    <row r="4" customFormat="false" ht="15" hidden="false" customHeight="false" outlineLevel="0" collapsed="false">
      <c r="A4" s="6" t="s">
        <v>133</v>
      </c>
      <c r="B4" s="17" t="n">
        <f aca="false">Model!F6</f>
        <v>1633.2</v>
      </c>
    </row>
    <row r="5" customFormat="false" ht="15" hidden="false" customHeight="false" outlineLevel="0" collapsed="false">
      <c r="A5" s="6" t="s">
        <v>134</v>
      </c>
      <c r="B5" s="26" t="n">
        <f aca="false">Assumptions!B13</f>
        <v>11</v>
      </c>
    </row>
    <row r="6" customFormat="false" ht="15" hidden="false" customHeight="false" outlineLevel="0" collapsed="false">
      <c r="A6" s="6" t="s">
        <v>135</v>
      </c>
      <c r="B6" s="14" t="n">
        <f aca="false">B4*B5</f>
        <v>17965.2</v>
      </c>
    </row>
    <row r="7" customFormat="false" ht="15" hidden="false" customHeight="false" outlineLevel="0" collapsed="false">
      <c r="A7" s="6" t="s">
        <v>136</v>
      </c>
      <c r="B7" s="14" t="n">
        <f aca="false">-Model!F23</f>
        <v>-3810.25742440063</v>
      </c>
    </row>
    <row r="8" customFormat="false" ht="15" hidden="false" customHeight="false" outlineLevel="0" collapsed="false">
      <c r="A8" s="5" t="s">
        <v>137</v>
      </c>
      <c r="B8" s="21" t="n">
        <f aca="false">B6+B7</f>
        <v>14154.9425755994</v>
      </c>
    </row>
    <row r="10" customFormat="false" ht="15" hidden="false" customHeight="false" outlineLevel="0" collapsed="false">
      <c r="A10" s="13" t="s">
        <v>138</v>
      </c>
      <c r="B10" s="23" t="s">
        <v>139</v>
      </c>
      <c r="C10" s="23" t="s">
        <v>140</v>
      </c>
      <c r="D10" s="23" t="s">
        <v>141</v>
      </c>
      <c r="E10" s="23" t="s">
        <v>142</v>
      </c>
      <c r="F10" s="23" t="s">
        <v>143</v>
      </c>
      <c r="G10" s="23" t="s">
        <v>144</v>
      </c>
    </row>
    <row r="11" customFormat="false" ht="15" hidden="false" customHeight="false" outlineLevel="0" collapsed="false">
      <c r="A11" s="6" t="s">
        <v>145</v>
      </c>
      <c r="B11" s="14" t="n">
        <f aca="false">-'Sources and Uses'!B12</f>
        <v>-8974.46</v>
      </c>
      <c r="C11" s="7" t="n">
        <v>0</v>
      </c>
      <c r="D11" s="7" t="n">
        <v>0</v>
      </c>
      <c r="E11" s="7" t="n">
        <v>0</v>
      </c>
      <c r="F11" s="7" t="n">
        <v>0</v>
      </c>
      <c r="G11" s="14" t="n">
        <f aca="false">B8</f>
        <v>14154.9425755994</v>
      </c>
    </row>
    <row r="13" customFormat="false" ht="15" hidden="false" customHeight="false" outlineLevel="0" collapsed="false">
      <c r="A13" s="5" t="s">
        <v>146</v>
      </c>
      <c r="B13" s="27" t="n">
        <f aca="false">B8/'Sources and Uses'!B12</f>
        <v>1.57724727455461</v>
      </c>
    </row>
    <row r="14" customFormat="false" ht="15" hidden="false" customHeight="false" outlineLevel="0" collapsed="false">
      <c r="A14" s="5" t="s">
        <v>147</v>
      </c>
      <c r="B14" s="16" t="n">
        <f aca="false">IRR(B11:G11)</f>
        <v>0.0954182121528105</v>
      </c>
    </row>
    <row r="15" customFormat="false" ht="15" hidden="false" customHeight="false" outlineLevel="0" collapsed="false">
      <c r="A15" s="6" t="s">
        <v>148</v>
      </c>
      <c r="B15" s="18" t="n">
        <f aca="false">B13^(1/Assumptions!B14)-1</f>
        <v>0.0954182121528107</v>
      </c>
      <c r="C15" s="4" t="s">
        <v>149</v>
      </c>
    </row>
    <row r="17" customFormat="false" ht="15" hidden="false" customHeight="false" outlineLevel="0" collapsed="false">
      <c r="A17" s="13" t="s">
        <v>150</v>
      </c>
    </row>
    <row r="18" customFormat="false" ht="15" hidden="false" customHeight="false" outlineLevel="0" collapsed="false">
      <c r="A18" s="6" t="s">
        <v>151</v>
      </c>
      <c r="B18" s="14" t="n">
        <f aca="false">B8-'Sources and Uses'!B12</f>
        <v>5180.48257559937</v>
      </c>
    </row>
    <row r="19" customFormat="false" ht="15" hidden="false" customHeight="false" outlineLevel="0" collapsed="false">
      <c r="A19" s="6" t="s">
        <v>152</v>
      </c>
      <c r="B19" s="14" t="n">
        <f aca="false">(B4-Assumptions!B5)*Assumptions!B6</f>
        <v>4292.2</v>
      </c>
      <c r="C19" s="18" t="n">
        <f aca="false">B19/$B$18</f>
        <v>0.828532851402053</v>
      </c>
      <c r="D19" s="4" t="s">
        <v>153</v>
      </c>
    </row>
    <row r="20" customFormat="false" ht="15" hidden="false" customHeight="false" outlineLevel="0" collapsed="false">
      <c r="A20" s="6" t="s">
        <v>154</v>
      </c>
      <c r="B20" s="14" t="n">
        <f aca="false">(B5-Assumptions!B6)*B4</f>
        <v>0</v>
      </c>
      <c r="C20" s="18" t="n">
        <f aca="false">B20/$B$18</f>
        <v>0</v>
      </c>
      <c r="D20" s="4" t="s">
        <v>155</v>
      </c>
    </row>
    <row r="21" customFormat="false" ht="15" hidden="false" customHeight="false" outlineLevel="0" collapsed="false">
      <c r="A21" s="6" t="s">
        <v>156</v>
      </c>
      <c r="B21" s="14" t="n">
        <f aca="false">Assumptions!B22-Model!F23</f>
        <v>1161.74257559937</v>
      </c>
      <c r="C21" s="18" t="n">
        <f aca="false">B21/$B$18</f>
        <v>0.224253736721614</v>
      </c>
      <c r="D21" s="4" t="s">
        <v>157</v>
      </c>
    </row>
    <row r="22" customFormat="false" ht="15" hidden="false" customHeight="false" outlineLevel="0" collapsed="false">
      <c r="A22" s="6" t="s">
        <v>158</v>
      </c>
      <c r="B22" s="14" t="n">
        <f aca="false">B18-B19-B20-B21</f>
        <v>-273.46</v>
      </c>
      <c r="C22" s="18" t="n">
        <f aca="false">B22/$B$18</f>
        <v>-0.0527865881236674</v>
      </c>
    </row>
    <row r="23" customFormat="false" ht="15" hidden="false" customHeight="false" outlineLevel="0" collapsed="false">
      <c r="A23" s="5" t="s">
        <v>159</v>
      </c>
      <c r="B23" s="21" t="n">
        <f aca="false">SUM(B19:B22)</f>
        <v>5180.48257559937</v>
      </c>
      <c r="C23" s="28" t="n">
        <f aca="false">SUM(C19:C22)</f>
        <v>1</v>
      </c>
    </row>
    <row r="24" customFormat="false" ht="15" hidden="false" customHeight="false" outlineLevel="0" collapsed="false">
      <c r="A24" s="5" t="s">
        <v>160</v>
      </c>
      <c r="B24" s="22" t="n">
        <f aca="false">B23-B18</f>
        <v>0</v>
      </c>
    </row>
    <row r="27" customFormat="false" ht="15" hidden="false" customHeight="false" outlineLevel="0" collapsed="false">
      <c r="A27" s="13" t="s">
        <v>161</v>
      </c>
    </row>
    <row r="28" customFormat="false" ht="15" hidden="false" customHeight="false" outlineLevel="0" collapsed="false">
      <c r="A28" s="6" t="s">
        <v>162</v>
      </c>
      <c r="B28" s="7" t="n">
        <v>100</v>
      </c>
    </row>
    <row r="29" customFormat="false" ht="15" hidden="false" customHeight="false" outlineLevel="0" collapsed="false">
      <c r="A29" s="6" t="s">
        <v>163</v>
      </c>
      <c r="B29" s="8" t="n">
        <v>10</v>
      </c>
    </row>
    <row r="30" customFormat="false" ht="15" hidden="false" customHeight="false" outlineLevel="0" collapsed="false">
      <c r="A30" s="6" t="s">
        <v>75</v>
      </c>
      <c r="B30" s="14" t="n">
        <f aca="false">B28*B29</f>
        <v>1000</v>
      </c>
    </row>
    <row r="31" customFormat="false" ht="15" hidden="false" customHeight="false" outlineLevel="0" collapsed="false">
      <c r="A31" s="6" t="s">
        <v>164</v>
      </c>
      <c r="B31" s="8" t="n">
        <v>6</v>
      </c>
    </row>
    <row r="32" customFormat="false" ht="15" hidden="false" customHeight="false" outlineLevel="0" collapsed="false">
      <c r="A32" s="6" t="s">
        <v>165</v>
      </c>
      <c r="B32" s="14" t="n">
        <f aca="false">B28*B31</f>
        <v>600</v>
      </c>
    </row>
    <row r="33" customFormat="false" ht="15" hidden="false" customHeight="false" outlineLevel="0" collapsed="false">
      <c r="A33" s="6" t="s">
        <v>94</v>
      </c>
      <c r="B33" s="14" t="n">
        <f aca="false">B30-B32</f>
        <v>400</v>
      </c>
    </row>
    <row r="34" customFormat="false" ht="15" hidden="false" customHeight="false" outlineLevel="0" collapsed="false">
      <c r="A34" s="6" t="s">
        <v>166</v>
      </c>
      <c r="B34" s="7" t="n">
        <v>150</v>
      </c>
    </row>
    <row r="35" customFormat="false" ht="15" hidden="false" customHeight="false" outlineLevel="0" collapsed="false">
      <c r="A35" s="6" t="s">
        <v>167</v>
      </c>
      <c r="B35" s="7" t="n">
        <v>300</v>
      </c>
    </row>
    <row r="36" customFormat="false" ht="15" hidden="false" customHeight="false" outlineLevel="0" collapsed="false">
      <c r="A36" s="6" t="s">
        <v>168</v>
      </c>
      <c r="B36" s="14" t="n">
        <f aca="false">B32-B35</f>
        <v>300</v>
      </c>
    </row>
    <row r="37" customFormat="false" ht="15" hidden="false" customHeight="false" outlineLevel="0" collapsed="false">
      <c r="A37" s="6" t="s">
        <v>134</v>
      </c>
      <c r="B37" s="8" t="n">
        <v>10</v>
      </c>
    </row>
    <row r="38" customFormat="false" ht="15" hidden="false" customHeight="false" outlineLevel="0" collapsed="false">
      <c r="A38" s="6" t="s">
        <v>135</v>
      </c>
      <c r="B38" s="14" t="n">
        <f aca="false">B34*B37</f>
        <v>1500</v>
      </c>
    </row>
    <row r="39" customFormat="false" ht="15" hidden="false" customHeight="false" outlineLevel="0" collapsed="false">
      <c r="A39" s="6" t="s">
        <v>169</v>
      </c>
      <c r="B39" s="14" t="n">
        <f aca="false">B38-B36</f>
        <v>1200</v>
      </c>
    </row>
    <row r="40" customFormat="false" ht="15" hidden="false" customHeight="false" outlineLevel="0" collapsed="false">
      <c r="A40" s="6" t="s">
        <v>170</v>
      </c>
      <c r="B40" s="20" t="n">
        <f aca="false">B39/B33</f>
        <v>3</v>
      </c>
    </row>
    <row r="41" customFormat="false" ht="15" hidden="false" customHeight="false" outlineLevel="0" collapsed="false">
      <c r="A41" s="6" t="s">
        <v>171</v>
      </c>
      <c r="B41" s="18" t="n">
        <f aca="false">B40^(1/5)-1</f>
        <v>0.245730939615517</v>
      </c>
    </row>
    <row r="42" customFormat="false" ht="15" hidden="false" customHeight="false" outlineLevel="0" collapsed="false">
      <c r="A42" s="4" t="s">
        <v>172</v>
      </c>
    </row>
    <row r="43" customFormat="false" ht="15" hidden="false" customHeight="false" outlineLevel="0" collapsed="false">
      <c r="A43" s="4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4" t="s">
        <v>175</v>
      </c>
    </row>
    <row r="3" customFormat="false" ht="15" hidden="false" customHeight="false" outlineLevel="0" collapsed="false">
      <c r="A3" s="4" t="s">
        <v>176</v>
      </c>
    </row>
    <row r="4" customFormat="false" ht="15" hidden="false" customHeight="false" outlineLevel="0" collapsed="false">
      <c r="A4" s="4" t="s">
        <v>177</v>
      </c>
    </row>
    <row r="5" customFormat="false" ht="15" hidden="false" customHeight="false" outlineLevel="0" collapsed="false">
      <c r="A5" s="4" t="s">
        <v>178</v>
      </c>
    </row>
    <row r="7" customFormat="false" ht="15" hidden="false" customHeight="false" outlineLevel="0" collapsed="false">
      <c r="A7" s="23" t="s">
        <v>179</v>
      </c>
      <c r="B7" s="29" t="n">
        <v>9</v>
      </c>
      <c r="C7" s="29" t="n">
        <v>10</v>
      </c>
      <c r="D7" s="29" t="n">
        <v>11</v>
      </c>
      <c r="E7" s="29" t="n">
        <v>12</v>
      </c>
      <c r="F7" s="29" t="n">
        <v>13</v>
      </c>
    </row>
    <row r="8" customFormat="false" ht="15" hidden="false" customHeight="false" outlineLevel="0" collapsed="false">
      <c r="A8" s="29" t="n">
        <v>9</v>
      </c>
      <c r="B8" s="18" t="n">
        <f aca="false">((B$7*Model!$F$6-Model!$F$23)/($A8*Assumptions!$B$5*(1+Assumptions!$B$8)-Assumptions!$B$22))^(1/Assumptions!$B$14)-1</f>
        <v>0.110794633847996</v>
      </c>
      <c r="C8" s="18" t="n">
        <f aca="false">((C$7*Model!$F$6-Model!$F$23)/($A8*Assumptions!$B$5*(1+Assumptions!$B$8)-Assumptions!$B$22))^(1/Assumptions!$B$14)-1</f>
        <v>0.142280535774241</v>
      </c>
      <c r="D8" s="18" t="n">
        <f aca="false">((D$7*Model!$F$6-Model!$F$23)/($A8*Assumptions!$B$5*(1+Assumptions!$B$8)-Assumptions!$B$22))^(1/Assumptions!$B$14)-1</f>
        <v>0.170634838406171</v>
      </c>
      <c r="E8" s="18" t="n">
        <f aca="false">((E$7*Model!$F$6-Model!$F$23)/($A8*Assumptions!$B$5*(1+Assumptions!$B$8)-Assumptions!$B$22))^(1/Assumptions!$B$14)-1</f>
        <v>0.196481616579008</v>
      </c>
      <c r="F8" s="18" t="n">
        <f aca="false">((F$7*Model!$F$6-Model!$F$23)/($A8*Assumptions!$B$5*(1+Assumptions!$B$8)-Assumptions!$B$22))^(1/Assumptions!$B$14)-1</f>
        <v>0.220270595958169</v>
      </c>
    </row>
    <row r="9" customFormat="false" ht="15" hidden="false" customHeight="false" outlineLevel="0" collapsed="false">
      <c r="A9" s="29" t="n">
        <v>10</v>
      </c>
      <c r="B9" s="18" t="n">
        <f aca="false">((B$7*Model!$F$6-Model!$F$23)/($A9*Assumptions!$B$5*(1+Assumptions!$B$8)-Assumptions!$B$22))^(1/Assumptions!$B$14)-1</f>
        <v>0.0715720741519059</v>
      </c>
      <c r="C9" s="18" t="n">
        <f aca="false">((C$7*Model!$F$6-Model!$F$23)/($A9*Assumptions!$B$5*(1+Assumptions!$B$8)-Assumptions!$B$22))^(1/Assumptions!$B$14)-1</f>
        <v>0.101946197509678</v>
      </c>
      <c r="D9" s="18" t="n">
        <f aca="false">((D$7*Model!$F$6-Model!$F$23)/($A9*Assumptions!$B$5*(1+Assumptions!$B$8)-Assumptions!$B$22))^(1/Assumptions!$B$14)-1</f>
        <v>0.129299299475226</v>
      </c>
      <c r="E9" s="18" t="n">
        <f aca="false">((E$7*Model!$F$6-Model!$F$23)/($A9*Assumptions!$B$5*(1+Assumptions!$B$8)-Assumptions!$B$22))^(1/Assumptions!$B$14)-1</f>
        <v>0.15423341857595</v>
      </c>
      <c r="F9" s="18" t="n">
        <f aca="false">((F$7*Model!$F$6-Model!$F$23)/($A9*Assumptions!$B$5*(1+Assumptions!$B$8)-Assumptions!$B$22))^(1/Assumptions!$B$14)-1</f>
        <v>0.177182400501598</v>
      </c>
    </row>
    <row r="10" customFormat="false" ht="15" hidden="false" customHeight="false" outlineLevel="0" collapsed="false">
      <c r="A10" s="29" t="n">
        <v>11</v>
      </c>
      <c r="B10" s="18" t="n">
        <f aca="false">((B$7*Model!$F$6-Model!$F$23)/($A10*Assumptions!$B$5*(1+Assumptions!$B$8)-Assumptions!$B$22))^(1/Assumptions!$B$14)-1</f>
        <v>0.0394229113626674</v>
      </c>
      <c r="C10" s="18" t="n">
        <f aca="false">((C$7*Model!$F$6-Model!$F$23)/($A10*Assumptions!$B$5*(1+Assumptions!$B$8)-Assumptions!$B$22))^(1/Assumptions!$B$14)-1</f>
        <v>0.0688857543129293</v>
      </c>
      <c r="D10" s="18" t="n">
        <f aca="false">((D$7*Model!$F$6-Model!$F$23)/($A10*Assumptions!$B$5*(1+Assumptions!$B$8)-Assumptions!$B$22))^(1/Assumptions!$B$14)-1</f>
        <v>0.0954182121528107</v>
      </c>
      <c r="E10" s="18" t="n">
        <f aca="false">((E$7*Model!$F$6-Model!$F$23)/($A10*Assumptions!$B$5*(1+Assumptions!$B$8)-Assumptions!$B$22))^(1/Assumptions!$B$14)-1</f>
        <v>0.119604261129918</v>
      </c>
      <c r="F10" s="18" t="n">
        <f aca="false">((F$7*Model!$F$6-Model!$F$23)/($A10*Assumptions!$B$5*(1+Assumptions!$B$8)-Assumptions!$B$22))^(1/Assumptions!$B$14)-1</f>
        <v>0.141864730753341</v>
      </c>
    </row>
    <row r="11" customFormat="false" ht="15" hidden="false" customHeight="false" outlineLevel="0" collapsed="false">
      <c r="A11" s="29" t="n">
        <v>12</v>
      </c>
      <c r="B11" s="18" t="n">
        <f aca="false">((B$7*Model!$F$6-Model!$F$23)/($A11*Assumptions!$B$5*(1+Assumptions!$B$8)-Assumptions!$B$22))^(1/Assumptions!$B$14)-1</f>
        <v>0.0123117613714241</v>
      </c>
      <c r="C11" s="18" t="n">
        <f aca="false">((C$7*Model!$F$6-Model!$F$23)/($A11*Assumptions!$B$5*(1+Assumptions!$B$8)-Assumptions!$B$22))^(1/Assumptions!$B$14)-1</f>
        <v>0.0410061283282659</v>
      </c>
      <c r="D11" s="18" t="n">
        <f aca="false">((D$7*Model!$F$6-Model!$F$23)/($A11*Assumptions!$B$5*(1+Assumptions!$B$8)-Assumptions!$B$22))^(1/Assumptions!$B$14)-1</f>
        <v>0.0668465430774381</v>
      </c>
      <c r="E11" s="18" t="n">
        <f aca="false">((E$7*Model!$F$6-Model!$F$23)/($A11*Assumptions!$B$5*(1+Assumptions!$B$8)-Assumptions!$B$22))^(1/Assumptions!$B$14)-1</f>
        <v>0.0904017500802674</v>
      </c>
      <c r="F11" s="18" t="n">
        <f aca="false">((F$7*Model!$F$6-Model!$F$23)/($A11*Assumptions!$B$5*(1+Assumptions!$B$8)-Assumptions!$B$22))^(1/Assumptions!$B$14)-1</f>
        <v>0.112081602397453</v>
      </c>
    </row>
    <row r="12" customFormat="false" ht="15" hidden="false" customHeight="false" outlineLevel="0" collapsed="false">
      <c r="A12" s="29" t="n">
        <v>13</v>
      </c>
      <c r="B12" s="18" t="n">
        <f aca="false">((B$7*Model!$F$6-Model!$F$23)/($A12*Assumptions!$B$5*(1+Assumptions!$B$8)-Assumptions!$B$22))^(1/Assumptions!$B$14)-1</f>
        <v>-0.0110427293841943</v>
      </c>
      <c r="C12" s="18" t="n">
        <f aca="false">((C$7*Model!$F$6-Model!$F$23)/($A12*Assumptions!$B$5*(1+Assumptions!$B$8)-Assumptions!$B$22))^(1/Assumptions!$B$14)-1</f>
        <v>0.0169896455328395</v>
      </c>
      <c r="D12" s="18" t="n">
        <f aca="false">((D$7*Model!$F$6-Model!$F$23)/($A12*Assumptions!$B$5*(1+Assumptions!$B$8)-Assumptions!$B$22))^(1/Assumptions!$B$14)-1</f>
        <v>0.0422339102120339</v>
      </c>
      <c r="E12" s="18" t="n">
        <f aca="false">((E$7*Model!$F$6-Model!$F$23)/($A12*Assumptions!$B$5*(1+Assumptions!$B$8)-Assumptions!$B$22))^(1/Assumptions!$B$14)-1</f>
        <v>0.0652456879224397</v>
      </c>
      <c r="F12" s="18" t="n">
        <f aca="false">((F$7*Model!$F$6-Model!$F$23)/($A12*Assumptions!$B$5*(1+Assumptions!$B$8)-Assumptions!$B$22))^(1/Assumptions!$B$14)-1</f>
        <v>0.0864253762290455</v>
      </c>
    </row>
    <row r="15" customFormat="false" ht="15" hidden="false" customHeight="false" outlineLevel="0" collapsed="false">
      <c r="A15" s="5" t="s">
        <v>170</v>
      </c>
    </row>
    <row r="16" customFormat="false" ht="15" hidden="false" customHeight="false" outlineLevel="0" collapsed="false">
      <c r="A16" s="23" t="s">
        <v>179</v>
      </c>
      <c r="B16" s="29" t="n">
        <v>9</v>
      </c>
      <c r="C16" s="29" t="n">
        <v>10</v>
      </c>
      <c r="D16" s="29" t="n">
        <v>11</v>
      </c>
      <c r="E16" s="29" t="n">
        <v>12</v>
      </c>
      <c r="F16" s="29" t="n">
        <v>13</v>
      </c>
    </row>
    <row r="17" customFormat="false" ht="15" hidden="false" customHeight="false" outlineLevel="0" collapsed="false">
      <c r="A17" s="29" t="n">
        <v>9</v>
      </c>
      <c r="B17" s="20" t="n">
        <f aca="false">(B$16*Model!$F$6-Model!$F$23)/($A17*Assumptions!$B$5*(1+Assumptions!$B$8)-Assumptions!$B$22)</f>
        <v>1.69109834775117</v>
      </c>
      <c r="C17" s="20" t="n">
        <f aca="false">(C$16*Model!$F$6-Model!$F$23)/($A17*Assumptions!$B$5*(1+Assumptions!$B$8)-Assumptions!$B$22)</f>
        <v>1.94475045981036</v>
      </c>
      <c r="D17" s="20" t="n">
        <f aca="false">(D$16*Model!$F$6-Model!$F$23)/($A17*Assumptions!$B$5*(1+Assumptions!$B$8)-Assumptions!$B$22)</f>
        <v>2.19840257186955</v>
      </c>
      <c r="E17" s="20" t="n">
        <f aca="false">(E$16*Model!$F$6-Model!$F$23)/($A17*Assumptions!$B$5*(1+Assumptions!$B$8)-Assumptions!$B$22)</f>
        <v>2.45205468392875</v>
      </c>
      <c r="F17" s="20" t="n">
        <f aca="false">(F$16*Model!$F$6-Model!$F$23)/($A17*Assumptions!$B$5*(1+Assumptions!$B$8)-Assumptions!$B$22)</f>
        <v>2.70570679598794</v>
      </c>
    </row>
    <row r="18" customFormat="false" ht="15" hidden="false" customHeight="false" outlineLevel="0" collapsed="false">
      <c r="A18" s="29" t="n">
        <v>10</v>
      </c>
      <c r="B18" s="20" t="n">
        <f aca="false">(B$16*Model!$F$6-Model!$F$23)/($A18*Assumptions!$B$5*(1+Assumptions!$B$8)-Assumptions!$B$22)</f>
        <v>1.4128853937663</v>
      </c>
      <c r="C18" s="20" t="n">
        <f aca="false">(C$16*Model!$F$6-Model!$F$23)/($A18*Assumptions!$B$5*(1+Assumptions!$B$8)-Assumptions!$B$22)</f>
        <v>1.62480764222866</v>
      </c>
      <c r="D18" s="20" t="n">
        <f aca="false">(D$16*Model!$F$6-Model!$F$23)/($A18*Assumptions!$B$5*(1+Assumptions!$B$8)-Assumptions!$B$22)</f>
        <v>1.83672989069101</v>
      </c>
      <c r="E18" s="20" t="n">
        <f aca="false">(E$16*Model!$F$6-Model!$F$23)/($A18*Assumptions!$B$5*(1+Assumptions!$B$8)-Assumptions!$B$22)</f>
        <v>2.04865213915337</v>
      </c>
      <c r="F18" s="20" t="n">
        <f aca="false">(F$16*Model!$F$6-Model!$F$23)/($A18*Assumptions!$B$5*(1+Assumptions!$B$8)-Assumptions!$B$22)</f>
        <v>2.26057438761573</v>
      </c>
    </row>
    <row r="19" customFormat="false" ht="15" hidden="false" customHeight="false" outlineLevel="0" collapsed="false">
      <c r="A19" s="29" t="n">
        <v>11</v>
      </c>
      <c r="B19" s="20" t="n">
        <f aca="false">(B$16*Model!$F$6-Model!$F$23)/($A19*Assumptions!$B$5*(1+Assumptions!$B$8)-Assumptions!$B$22)</f>
        <v>1.2132810860597</v>
      </c>
      <c r="C19" s="20" t="n">
        <f aca="false">(C$16*Model!$F$6-Model!$F$23)/($A19*Assumptions!$B$5*(1+Assumptions!$B$8)-Assumptions!$B$22)</f>
        <v>1.39526418030716</v>
      </c>
      <c r="D19" s="20" t="n">
        <f aca="false">(D$16*Model!$F$6-Model!$F$23)/($A19*Assumptions!$B$5*(1+Assumptions!$B$8)-Assumptions!$B$22)</f>
        <v>1.57724727455461</v>
      </c>
      <c r="E19" s="20" t="n">
        <f aca="false">(E$16*Model!$F$6-Model!$F$23)/($A19*Assumptions!$B$5*(1+Assumptions!$B$8)-Assumptions!$B$22)</f>
        <v>1.75923036880206</v>
      </c>
      <c r="F19" s="20" t="n">
        <f aca="false">(F$16*Model!$F$6-Model!$F$23)/($A19*Assumptions!$B$5*(1+Assumptions!$B$8)-Assumptions!$B$22)</f>
        <v>1.94121346304952</v>
      </c>
    </row>
    <row r="20" customFormat="false" ht="15" hidden="false" customHeight="false" outlineLevel="0" collapsed="false">
      <c r="A20" s="29" t="n">
        <v>12</v>
      </c>
      <c r="B20" s="20" t="n">
        <f aca="false">(B$16*Model!$F$6-Model!$F$23)/($A20*Assumptions!$B$5*(1+Assumptions!$B$8)-Assumptions!$B$22)</f>
        <v>1.06309337880474</v>
      </c>
      <c r="C20" s="20" t="n">
        <f aca="false">(C$16*Model!$F$6-Model!$F$23)/($A20*Assumptions!$B$5*(1+Assumptions!$B$8)-Assumptions!$B$22)</f>
        <v>1.22254943954098</v>
      </c>
      <c r="D20" s="20" t="n">
        <f aca="false">(D$16*Model!$F$6-Model!$F$23)/($A20*Assumptions!$B$5*(1+Assumptions!$B$8)-Assumptions!$B$22)</f>
        <v>1.38200550027722</v>
      </c>
      <c r="E20" s="20" t="n">
        <f aca="false">(E$16*Model!$F$6-Model!$F$23)/($A20*Assumptions!$B$5*(1+Assumptions!$B$8)-Assumptions!$B$22)</f>
        <v>1.54146156101346</v>
      </c>
      <c r="F20" s="20" t="n">
        <f aca="false">(F$16*Model!$F$6-Model!$F$23)/($A20*Assumptions!$B$5*(1+Assumptions!$B$8)-Assumptions!$B$22)</f>
        <v>1.7009176217497</v>
      </c>
    </row>
    <row r="21" customFormat="false" ht="15" hidden="false" customHeight="false" outlineLevel="0" collapsed="false">
      <c r="A21" s="29" t="n">
        <v>13</v>
      </c>
      <c r="B21" s="20" t="n">
        <f aca="false">(B$16*Model!$F$6-Model!$F$23)/($A21*Assumptions!$B$5*(1+Assumptions!$B$8)-Assumptions!$B$22)</f>
        <v>0.945992380275493</v>
      </c>
      <c r="C21" s="20" t="n">
        <f aca="false">(C$16*Model!$F$6-Model!$F$23)/($A21*Assumptions!$B$5*(1+Assumptions!$B$8)-Assumptions!$B$22)</f>
        <v>1.08788416650299</v>
      </c>
      <c r="D21" s="20" t="n">
        <f aca="false">(D$16*Model!$F$6-Model!$F$23)/($A21*Assumptions!$B$5*(1+Assumptions!$B$8)-Assumptions!$B$22)</f>
        <v>1.22977595273048</v>
      </c>
      <c r="E21" s="20" t="n">
        <f aca="false">(E$16*Model!$F$6-Model!$F$23)/($A21*Assumptions!$B$5*(1+Assumptions!$B$8)-Assumptions!$B$22)</f>
        <v>1.37166773895798</v>
      </c>
      <c r="F21" s="20" t="n">
        <f aca="false">(F$16*Model!$F$6-Model!$F$23)/($A21*Assumptions!$B$5*(1+Assumptions!$B$8)-Assumptions!$B$22)</f>
        <v>1.51355952518548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2026-08-31T09:01:40Z</dcterms:created>
  <dc:creator>openpyxl</dc:creator>
  <dc:description/>
  <dc:language>en-US</dc:language>
  <cp:lastModifiedBy/>
  <dcterms:modified xsi:type="dcterms:W3CDTF">2026-08-31T09:01:40Z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